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Chart of Accounts" state="visible" r:id="rId5"/>
    <sheet sheetId="3" name="Source Transactions" state="visible" r:id="rId6"/>
    <sheet sheetId="4" name="Journal Entries" state="visible" r:id="rId7"/>
    <sheet sheetId="5" name="General Ledger" state="visible" r:id="rId8"/>
    <sheet sheetId="6" name="Trial Balance" state="visible" r:id="rId9"/>
    <sheet sheetId="7" name="Profit and Loss" state="visible" r:id="rId10"/>
    <sheet sheetId="8" name="Balance Sheet" state="visible" r:id="rId11"/>
    <sheet sheetId="9" name="Inventory" state="visible" r:id="rId12"/>
    <sheet sheetId="10" name="Fixed Assets and Depreciation" state="visible" r:id="rId13"/>
    <sheet sheetId="11" name="GST Summary" state="visible" r:id="rId14"/>
    <sheet sheetId="12" name="Validation Results" state="visible" r:id="rId15"/>
  </sheets>
  <calcPr calcId="171027"/>
</workbook>
</file>

<file path=xl/sharedStrings.xml><?xml version="1.0" encoding="utf-8"?>
<sst xmlns="http://schemas.openxmlformats.org/spreadsheetml/2006/main" count="6373" uniqueCount="849">
  <si>
    <t>Meridian Retail Traders - Accounting Submission</t>
  </si>
  <si>
    <t>Meridian Retail Traders | Period: 2025-04-01 to 2026-03-31 | Currency: INR (₹) | Educational demo data</t>
  </si>
  <si>
    <t>Business</t>
  </si>
  <si>
    <t>Meridian Retail Traders (fictional retail trading business)</t>
  </si>
  <si>
    <t>Reporting period</t>
  </si>
  <si>
    <t>2025-04-01 to 2026-03-31</t>
  </si>
  <si>
    <t>Base currency</t>
  </si>
  <si>
    <t>INR (₹)</t>
  </si>
  <si>
    <t>Source transactions</t>
  </si>
  <si>
    <t>Journal entries</t>
  </si>
  <si>
    <t>Balance Sheet difference (Assets - Liabilities - Equity)</t>
  </si>
  <si>
    <t>0.00</t>
  </si>
  <si>
    <t>Net profit / (loss)</t>
  </si>
  <si>
    <t>650465.86</t>
  </si>
  <si>
    <t>Validation</t>
  </si>
  <si>
    <t>All 27 checks passed</t>
  </si>
  <si>
    <t>Pipeline</t>
  </si>
  <si>
    <t>Source Transactions -&gt; Journal Entries -&gt; General Ledger -&gt; Trial Balance -&gt; Profit and Loss + Balance Sheet</t>
  </si>
  <si>
    <t>Values</t>
  </si>
  <si>
    <t>Report values were produced by the accounting engine and written here; totals and difference columns are Excel formulas (cached results included, so no recalculation is needed).</t>
  </si>
  <si>
    <t>Disclaimer</t>
  </si>
  <si>
    <t>All data is fictional. GST rates and treatments are illustrative educational examples, not tax advice.</t>
  </si>
  <si>
    <t>Chart of Accounts</t>
  </si>
  <si>
    <t>Code</t>
  </si>
  <si>
    <t>Account name</t>
  </si>
  <si>
    <t>Type</t>
  </si>
  <si>
    <t>Normal balance</t>
  </si>
  <si>
    <t>Group</t>
  </si>
  <si>
    <t>Contra?</t>
  </si>
  <si>
    <t>1001</t>
  </si>
  <si>
    <t>Cash in Hand</t>
  </si>
  <si>
    <t>asset</t>
  </si>
  <si>
    <t>debit</t>
  </si>
  <si>
    <t>Cash and Bank</t>
  </si>
  <si>
    <t/>
  </si>
  <si>
    <t>1002</t>
  </si>
  <si>
    <t>Bank Account 1 - HDFC Current A/c</t>
  </si>
  <si>
    <t>1003</t>
  </si>
  <si>
    <t>Bank Account 2 - ICICI Current A/c</t>
  </si>
  <si>
    <t>1100</t>
  </si>
  <si>
    <t>Accounts Receivable</t>
  </si>
  <si>
    <t>Receivables</t>
  </si>
  <si>
    <t>1150</t>
  </si>
  <si>
    <t>Accrued Interest Receivable</t>
  </si>
  <si>
    <t>1200</t>
  </si>
  <si>
    <t>Inventory</t>
  </si>
  <si>
    <t>1300</t>
  </si>
  <si>
    <t>Prepaid Rent</t>
  </si>
  <si>
    <t>Prepaid Expenses</t>
  </si>
  <si>
    <t>1400</t>
  </si>
  <si>
    <t>Input GST Credit</t>
  </si>
  <si>
    <t>GST</t>
  </si>
  <si>
    <t>1500</t>
  </si>
  <si>
    <t>Loan Given</t>
  </si>
  <si>
    <t>Loans</t>
  </si>
  <si>
    <t>1600</t>
  </si>
  <si>
    <t>Furniture and Fixtures</t>
  </si>
  <si>
    <t>Fixed Assets</t>
  </si>
  <si>
    <t>1601</t>
  </si>
  <si>
    <t>Accumulated Depreciation - Furniture</t>
  </si>
  <si>
    <t>credit</t>
  </si>
  <si>
    <t>Yes</t>
  </si>
  <si>
    <t>1610</t>
  </si>
  <si>
    <t>Computer Equipment</t>
  </si>
  <si>
    <t>1611</t>
  </si>
  <si>
    <t>Accumulated Depreciation - Computers</t>
  </si>
  <si>
    <t>1620</t>
  </si>
  <si>
    <t>Delivery Vehicle</t>
  </si>
  <si>
    <t>1621</t>
  </si>
  <si>
    <t>Accumulated Depreciation - Vehicle</t>
  </si>
  <si>
    <t>2001</t>
  </si>
  <si>
    <t>Accounts Payable</t>
  </si>
  <si>
    <t>liability</t>
  </si>
  <si>
    <t>Payables</t>
  </si>
  <si>
    <t>2002</t>
  </si>
  <si>
    <t>Salaries Payable</t>
  </si>
  <si>
    <t>2100</t>
  </si>
  <si>
    <t>Bank Loan</t>
  </si>
  <si>
    <t>2200</t>
  </si>
  <si>
    <t>Output GST Payable</t>
  </si>
  <si>
    <t>2300</t>
  </si>
  <si>
    <t>TDS and PF Payable</t>
  </si>
  <si>
    <t>Other Current Liabilities</t>
  </si>
  <si>
    <t>2400</t>
  </si>
  <si>
    <t>Accrued Expenses</t>
  </si>
  <si>
    <t>3001</t>
  </si>
  <si>
    <t>Owner's Capital</t>
  </si>
  <si>
    <t>equity</t>
  </si>
  <si>
    <t>Equity</t>
  </si>
  <si>
    <t>3002</t>
  </si>
  <si>
    <t>Retained Earnings</t>
  </si>
  <si>
    <t>3003</t>
  </si>
  <si>
    <t>Current-Year Profit or Loss</t>
  </si>
  <si>
    <t>4001</t>
  </si>
  <si>
    <t>Sales Revenue</t>
  </si>
  <si>
    <t>income</t>
  </si>
  <si>
    <t>Income</t>
  </si>
  <si>
    <t>4002</t>
  </si>
  <si>
    <t>Service Income</t>
  </si>
  <si>
    <t>4003</t>
  </si>
  <si>
    <t>Interest Income</t>
  </si>
  <si>
    <t>5001</t>
  </si>
  <si>
    <t>Cost of Goods Sold</t>
  </si>
  <si>
    <t>expense</t>
  </si>
  <si>
    <t>Cost of Sales</t>
  </si>
  <si>
    <t>5101</t>
  </si>
  <si>
    <t>Salaries Expense</t>
  </si>
  <si>
    <t>Operating Expenses</t>
  </si>
  <si>
    <t>5102</t>
  </si>
  <si>
    <t>Rent Expense</t>
  </si>
  <si>
    <t>5103</t>
  </si>
  <si>
    <t>Utilities Expense</t>
  </si>
  <si>
    <t>5104</t>
  </si>
  <si>
    <t>Advertising Expense</t>
  </si>
  <si>
    <t>5105</t>
  </si>
  <si>
    <t>Depreciation Expense</t>
  </si>
  <si>
    <t>5106</t>
  </si>
  <si>
    <t>Bank Charges</t>
  </si>
  <si>
    <t>5107</t>
  </si>
  <si>
    <t>Interest Expense</t>
  </si>
  <si>
    <t>Finance Costs</t>
  </si>
  <si>
    <t>5108</t>
  </si>
  <si>
    <t>Other Operating Expenses</t>
  </si>
  <si>
    <t>Source Transactions (business events as entered)</t>
  </si>
  <si>
    <t>Txn ID</t>
  </si>
  <si>
    <t>Date</t>
  </si>
  <si>
    <t>Description</t>
  </si>
  <si>
    <t>Party</t>
  </si>
  <si>
    <t>Reference</t>
  </si>
  <si>
    <t>Category</t>
  </si>
  <si>
    <t>Item</t>
  </si>
  <si>
    <t>Qty</t>
  </si>
  <si>
    <t>Unit amount</t>
  </si>
  <si>
    <t>Amount</t>
  </si>
  <si>
    <t>GST %</t>
  </si>
  <si>
    <t>GST treatment</t>
  </si>
  <si>
    <t>Account</t>
  </si>
  <si>
    <t>Settle via</t>
  </si>
  <si>
    <t>To account</t>
  </si>
  <si>
    <t>Interest</t>
  </si>
  <si>
    <t>Deduction</t>
  </si>
  <si>
    <t>T001</t>
  </si>
  <si>
    <t>CAPITAL</t>
  </si>
  <si>
    <t>Owner introduces capital into Bank Account 1</t>
  </si>
  <si>
    <t>CAP-001</t>
  </si>
  <si>
    <t>Capital</t>
  </si>
  <si>
    <t>T002</t>
  </si>
  <si>
    <t>Owner introduces cash capital</t>
  </si>
  <si>
    <t>CAP-002</t>
  </si>
  <si>
    <t>T003</t>
  </si>
  <si>
    <t>TRANSFER</t>
  </si>
  <si>
    <t>Fund Bank Account 2 from Bank Account 1 (inter-bank transfer)</t>
  </si>
  <si>
    <t>REF-003</t>
  </si>
  <si>
    <t>Bank Transfer</t>
  </si>
  <si>
    <t>T004</t>
  </si>
  <si>
    <t>Cash withdrawal from Bank Account 1 for petty cash</t>
  </si>
  <si>
    <t>REF-004</t>
  </si>
  <si>
    <t>Cash Withdrawal</t>
  </si>
  <si>
    <t>T005</t>
  </si>
  <si>
    <t>ASSET_PURCHASE</t>
  </si>
  <si>
    <t>Purchase of shop furniture and racks</t>
  </si>
  <si>
    <t>Oak Interiors</t>
  </si>
  <si>
    <t>REF-005</t>
  </si>
  <si>
    <t>Shop Furniture</t>
  </si>
  <si>
    <t>T006</t>
  </si>
  <si>
    <t>Purchase of billing computers and printer</t>
  </si>
  <si>
    <t>Digital Hub</t>
  </si>
  <si>
    <t>REF-006</t>
  </si>
  <si>
    <t>Billing Computers</t>
  </si>
  <si>
    <t>T007</t>
  </si>
  <si>
    <t>LOAN_RECEIVED</t>
  </si>
  <si>
    <t>Term loan received from HDFC Bank (11% p.a.)</t>
  </si>
  <si>
    <t>HDFC Bank</t>
  </si>
  <si>
    <t>REF-007</t>
  </si>
  <si>
    <t>Loan Availed</t>
  </si>
  <si>
    <t>T008</t>
  </si>
  <si>
    <t>Purchase of delivery van</t>
  </si>
  <si>
    <t>Star Motors</t>
  </si>
  <si>
    <t>REF-008</t>
  </si>
  <si>
    <t>Delivery Van</t>
  </si>
  <si>
    <t>T009</t>
  </si>
  <si>
    <t>EXPENSE</t>
  </si>
  <si>
    <t>Shop rent for April to June 2025 paid for the quarter</t>
  </si>
  <si>
    <t>Mehta Properties</t>
  </si>
  <si>
    <t>REF-009</t>
  </si>
  <si>
    <t>Rent</t>
  </si>
  <si>
    <t>T010</t>
  </si>
  <si>
    <t>PURCHASE</t>
  </si>
  <si>
    <t>Purchase of USB fast chargers - paid by bank</t>
  </si>
  <si>
    <t>Sharma Electronics</t>
  </si>
  <si>
    <t>REF-010</t>
  </si>
  <si>
    <t>Inventory Purchase</t>
  </si>
  <si>
    <t>CHG</t>
  </si>
  <si>
    <t>T011</t>
  </si>
  <si>
    <t>Purchase of laptop backpacks on credit</t>
  </si>
  <si>
    <t>Urban Gear Pvt Ltd</t>
  </si>
  <si>
    <t>REF-011</t>
  </si>
  <si>
    <t>BAG</t>
  </si>
  <si>
    <t>CREDIT</t>
  </si>
  <si>
    <t>T012</t>
  </si>
  <si>
    <t>Purchase of LED desk lamps - paid by bank</t>
  </si>
  <si>
    <t>Bright Lights Co</t>
  </si>
  <si>
    <t>REF-012</t>
  </si>
  <si>
    <t>LMP</t>
  </si>
  <si>
    <t>T013</t>
  </si>
  <si>
    <t>SALE</t>
  </si>
  <si>
    <t>Cash sale of USB chargers</t>
  </si>
  <si>
    <t>Walk-in customers</t>
  </si>
  <si>
    <t>REF-013</t>
  </si>
  <si>
    <t>Sales</t>
  </si>
  <si>
    <t>T014</t>
  </si>
  <si>
    <t>Credit sale of backpacks to Bright Offices LLP</t>
  </si>
  <si>
    <t>Bright Offices LLP</t>
  </si>
  <si>
    <t>REF-014</t>
  </si>
  <si>
    <t>T015</t>
  </si>
  <si>
    <t>Sale of LED lamps - UPI receipt into Bank Account 2</t>
  </si>
  <si>
    <t>REF-015</t>
  </si>
  <si>
    <t>T016</t>
  </si>
  <si>
    <t>Electricity bill for April (outside GST)</t>
  </si>
  <si>
    <t>State Electricity Board</t>
  </si>
  <si>
    <t>REF-016</t>
  </si>
  <si>
    <t>Utilities</t>
  </si>
  <si>
    <t>NON_TAXABLE</t>
  </si>
  <si>
    <t>T017</t>
  </si>
  <si>
    <t>Online advertising campaign - April</t>
  </si>
  <si>
    <t>AdReach Media</t>
  </si>
  <si>
    <t>REF-017</t>
  </si>
  <si>
    <t>Advertising</t>
  </si>
  <si>
    <t>T018</t>
  </si>
  <si>
    <t>SALARY_ACCRUAL</t>
  </si>
  <si>
    <t>Staff salaries for April 2025 (gross; TDS/PF withheld)</t>
  </si>
  <si>
    <t>REF-018</t>
  </si>
  <si>
    <t>Payroll</t>
  </si>
  <si>
    <t>T019</t>
  </si>
  <si>
    <t>Bank charges - April</t>
  </si>
  <si>
    <t>REF-019</t>
  </si>
  <si>
    <t>T020</t>
  </si>
  <si>
    <t>SALARY_PAYMENT</t>
  </si>
  <si>
    <t>Net salaries for April 2025 paid to staff</t>
  </si>
  <si>
    <t>REF-020</t>
  </si>
  <si>
    <t>T021</t>
  </si>
  <si>
    <t>Deposit of April TDS/PF withheld from salaries</t>
  </si>
  <si>
    <t>REF-021</t>
  </si>
  <si>
    <t>T022</t>
  </si>
  <si>
    <t>SERVICE</t>
  </si>
  <si>
    <t>Installation and set-up service for corporate customer</t>
  </si>
  <si>
    <t>REF-022</t>
  </si>
  <si>
    <t>T023</t>
  </si>
  <si>
    <t>COLLECTION</t>
  </si>
  <si>
    <t>Part payment received from Bright Offices LLP</t>
  </si>
  <si>
    <t>REF-023</t>
  </si>
  <si>
    <t>Customer Collection</t>
  </si>
  <si>
    <t>T024</t>
  </si>
  <si>
    <t>SUPPLIER_PAYMENT</t>
  </si>
  <si>
    <t>Part payment to Urban Gear Pvt Ltd</t>
  </si>
  <si>
    <t>REF-024</t>
  </si>
  <si>
    <t>Supplier Payment</t>
  </si>
  <si>
    <t>T025</t>
  </si>
  <si>
    <t>Credit sale of chargers to Metro Mobiles</t>
  </si>
  <si>
    <t>Metro Mobiles</t>
  </si>
  <si>
    <t>REF-025</t>
  </si>
  <si>
    <t>T026</t>
  </si>
  <si>
    <t>Sale of backpacks - card receipt into Bank Account 2</t>
  </si>
  <si>
    <t>REF-026</t>
  </si>
  <si>
    <t>T027</t>
  </si>
  <si>
    <t>Staff salaries for May 2025 (gross; TDS/PF withheld)</t>
  </si>
  <si>
    <t>REF-027</t>
  </si>
  <si>
    <t>T028</t>
  </si>
  <si>
    <t>Bank charges - May</t>
  </si>
  <si>
    <t>REF-028</t>
  </si>
  <si>
    <t>T029</t>
  </si>
  <si>
    <t>Net salaries for May 2025 paid to staff</t>
  </si>
  <si>
    <t>REF-029</t>
  </si>
  <si>
    <t>T030</t>
  </si>
  <si>
    <t>Deposit of May TDS/PF withheld from salaries</t>
  </si>
  <si>
    <t>REF-030</t>
  </si>
  <si>
    <t>T031</t>
  </si>
  <si>
    <t>Purchase of chargers on credit at a higher price</t>
  </si>
  <si>
    <t>REF-031</t>
  </si>
  <si>
    <t>T032</t>
  </si>
  <si>
    <t>LOAN_GIVEN</t>
  </si>
  <si>
    <t>Short-term loan given to Kavita Traders (9% p.a.)</t>
  </si>
  <si>
    <t>Kavita Traders</t>
  </si>
  <si>
    <t>REF-032</t>
  </si>
  <si>
    <t>T033</t>
  </si>
  <si>
    <t>Electricity bill May-June (outside GST)</t>
  </si>
  <si>
    <t>REF-033</t>
  </si>
  <si>
    <t>T034</t>
  </si>
  <si>
    <t>PREPAYMENT</t>
  </si>
  <si>
    <t>Rent for 12 months (1 Jul 2025 - 30 Jun 2026) paid in advance</t>
  </si>
  <si>
    <t>REF-034</t>
  </si>
  <si>
    <t>T035</t>
  </si>
  <si>
    <t>Cash sale of LED lamps</t>
  </si>
  <si>
    <t>REF-035</t>
  </si>
  <si>
    <t>T036</t>
  </si>
  <si>
    <t>Metro Mobiles settles its invoice in full</t>
  </si>
  <si>
    <t>REF-036</t>
  </si>
  <si>
    <t>T037</t>
  </si>
  <si>
    <t>Staff salaries for June 2025 (gross; TDS/PF withheld)</t>
  </si>
  <si>
    <t>REF-037</t>
  </si>
  <si>
    <t>T038</t>
  </si>
  <si>
    <t>DEPRECIATION</t>
  </si>
  <si>
    <t>Depreciation for the quarter ended 30 June 2025 (straight-line, pro-rata)</t>
  </si>
  <si>
    <t>REF-038</t>
  </si>
  <si>
    <t>Depreciation</t>
  </si>
  <si>
    <t>T039</t>
  </si>
  <si>
    <t>INTEREST_INCOME</t>
  </si>
  <si>
    <t>Interest credited on Bank Account 1 balance</t>
  </si>
  <si>
    <t>REF-039</t>
  </si>
  <si>
    <t>T040</t>
  </si>
  <si>
    <t>Net salaries for June 2025 paid to staff</t>
  </si>
  <si>
    <t>REF-040</t>
  </si>
  <si>
    <t>T041</t>
  </si>
  <si>
    <t>Credit sale of LED lamps to Bright Offices LLP</t>
  </si>
  <si>
    <t>REF-041</t>
  </si>
  <si>
    <t>T042</t>
  </si>
  <si>
    <t>Monsoon promotion - social media ads</t>
  </si>
  <si>
    <t>REF-042</t>
  </si>
  <si>
    <t>T043</t>
  </si>
  <si>
    <t>GST_SETTLEMENT</t>
  </si>
  <si>
    <t>GST return Apr-Jun: output GST set off against input credit</t>
  </si>
  <si>
    <t>REF-043</t>
  </si>
  <si>
    <t>GST Settlement</t>
  </si>
  <si>
    <t>T044</t>
  </si>
  <si>
    <t>Payment to Sharma Electronics for June purchase</t>
  </si>
  <si>
    <t>REF-044</t>
  </si>
  <si>
    <t>T045</t>
  </si>
  <si>
    <t>Sale of chargers - UPI into Bank Account 1</t>
  </si>
  <si>
    <t>REF-045</t>
  </si>
  <si>
    <t>T046</t>
  </si>
  <si>
    <t>Staff salaries for July 2025 (gross; TDS/PF withheld)</t>
  </si>
  <si>
    <t>REF-046</t>
  </si>
  <si>
    <t>T047</t>
  </si>
  <si>
    <t>Net salaries for July 2025 paid to staff</t>
  </si>
  <si>
    <t>REF-047</t>
  </si>
  <si>
    <t>T048</t>
  </si>
  <si>
    <t>Final payment to Urban Gear Pvt Ltd</t>
  </si>
  <si>
    <t>REF-048</t>
  </si>
  <si>
    <t>T049</t>
  </si>
  <si>
    <t>Sale of backpacks - back-to-college season</t>
  </si>
  <si>
    <t>REF-049</t>
  </si>
  <si>
    <t>T050</t>
  </si>
  <si>
    <t>Collection from Bright Offices LLP</t>
  </si>
  <si>
    <t>REF-050</t>
  </si>
  <si>
    <t>T051</t>
  </si>
  <si>
    <t>Van fuel and repairs</t>
  </si>
  <si>
    <t>Highway Auto Care</t>
  </si>
  <si>
    <t>REF-051</t>
  </si>
  <si>
    <t>Other Operating</t>
  </si>
  <si>
    <t>T052</t>
  </si>
  <si>
    <t>Staff salaries for August 2025 (gross; TDS/PF withheld)</t>
  </si>
  <si>
    <t>REF-052</t>
  </si>
  <si>
    <t>T053</t>
  </si>
  <si>
    <t>Net salaries for August 2025 paid to staff</t>
  </si>
  <si>
    <t>REF-053</t>
  </si>
  <si>
    <t>T054</t>
  </si>
  <si>
    <t>Purchase of backpacks - paid by bank</t>
  </si>
  <si>
    <t>REF-054</t>
  </si>
  <si>
    <t>T055</t>
  </si>
  <si>
    <t>Owner introduces additional capital for festive-season stock</t>
  </si>
  <si>
    <t>CAP-003</t>
  </si>
  <si>
    <t>T056</t>
  </si>
  <si>
    <t>LOAN_REPAYMENT</t>
  </si>
  <si>
    <t>Bank loan: principal instalment plus interest (principal reduces liability; interest is expense)</t>
  </si>
  <si>
    <t>REF-056</t>
  </si>
  <si>
    <t>Loan Repayment</t>
  </si>
  <si>
    <t>T057</t>
  </si>
  <si>
    <t>Internet and phone charges - quarter</t>
  </si>
  <si>
    <t>Airtel</t>
  </si>
  <si>
    <t>REF-057</t>
  </si>
  <si>
    <t>T058</t>
  </si>
  <si>
    <t>PREPAID_RELEASE</t>
  </si>
  <si>
    <t>Rent expense recognised for Jul-Sep from prepaid rent (3 x 22,000)</t>
  </si>
  <si>
    <t>REF-058</t>
  </si>
  <si>
    <t>T059</t>
  </si>
  <si>
    <t>Depreciation for the quarter ended 30 September 2025</t>
  </si>
  <si>
    <t>REF-059</t>
  </si>
  <si>
    <t>T060</t>
  </si>
  <si>
    <t>Staff salaries for September 2025 (gross; TDS/PF withheld)</t>
  </si>
  <si>
    <t>REF-060</t>
  </si>
  <si>
    <t>T061</t>
  </si>
  <si>
    <t>REF-061</t>
  </si>
  <si>
    <t>T062</t>
  </si>
  <si>
    <t>Net salaries for September 2025 paid to staff</t>
  </si>
  <si>
    <t>REF-062</t>
  </si>
  <si>
    <t>T063</t>
  </si>
  <si>
    <t>Festive-season stock of chargers on credit</t>
  </si>
  <si>
    <t>REF-063</t>
  </si>
  <si>
    <t>T064</t>
  </si>
  <si>
    <t>Festive-season stock of LED lamps</t>
  </si>
  <si>
    <t>REF-064</t>
  </si>
  <si>
    <t>T065</t>
  </si>
  <si>
    <t>Diwali advertising campaign</t>
  </si>
  <si>
    <t>REF-065</t>
  </si>
  <si>
    <t>T066</t>
  </si>
  <si>
    <t>Diwali sale of chargers - bank receipts</t>
  </si>
  <si>
    <t>REF-066</t>
  </si>
  <si>
    <t>T067</t>
  </si>
  <si>
    <t>Corporate gifting order of backpacks on credit</t>
  </si>
  <si>
    <t>Corporate Gifts Co</t>
  </si>
  <si>
    <t>REF-067</t>
  </si>
  <si>
    <t>T068</t>
  </si>
  <si>
    <t>Diwali sale of LED lamps</t>
  </si>
  <si>
    <t>REF-068</t>
  </si>
  <si>
    <t>T069</t>
  </si>
  <si>
    <t>Home delivery and installation charges - Diwali</t>
  </si>
  <si>
    <t>REF-069</t>
  </si>
  <si>
    <t>T070</t>
  </si>
  <si>
    <t>Staff salaries for October 2025 (gross; TDS/PF withheld)</t>
  </si>
  <si>
    <t>REF-070</t>
  </si>
  <si>
    <t>T071</t>
  </si>
  <si>
    <t>Net salaries for October 2025 paid to staff</t>
  </si>
  <si>
    <t>REF-071</t>
  </si>
  <si>
    <t>T072</t>
  </si>
  <si>
    <t>Corporate Gifts Co pays its invoice</t>
  </si>
  <si>
    <t>REF-072</t>
  </si>
  <si>
    <t>T073</t>
  </si>
  <si>
    <t>Payment to Sharma Electronics</t>
  </si>
  <si>
    <t>REF-073</t>
  </si>
  <si>
    <t>T074</t>
  </si>
  <si>
    <t>GST return Jul-Oct: output GST set off against input credit, balance paid</t>
  </si>
  <si>
    <t>REF-074</t>
  </si>
  <si>
    <t>T075</t>
  </si>
  <si>
    <t>Cash sale of chargers</t>
  </si>
  <si>
    <t>REF-075</t>
  </si>
  <si>
    <t>T076</t>
  </si>
  <si>
    <t>Staff salaries for November 2025 (gross; TDS/PF withheld)</t>
  </si>
  <si>
    <t>REF-076</t>
  </si>
  <si>
    <t>T077</t>
  </si>
  <si>
    <t>Net salaries for November 2025 paid to staff</t>
  </si>
  <si>
    <t>REF-077</t>
  </si>
  <si>
    <t>T078</t>
  </si>
  <si>
    <t>Deposit of accumulated cash sales into Bank Account 1</t>
  </si>
  <si>
    <t>REF-078</t>
  </si>
  <si>
    <t>Cash Deposit</t>
  </si>
  <si>
    <t>T079</t>
  </si>
  <si>
    <t>Sale of backpacks - winter travel</t>
  </si>
  <si>
    <t>REF-079</t>
  </si>
  <si>
    <t>T080</t>
  </si>
  <si>
    <t>Bank loan: principal instalment plus interest</t>
  </si>
  <si>
    <t>REF-080</t>
  </si>
  <si>
    <t>T081</t>
  </si>
  <si>
    <t>LOAN_RECOVERY</t>
  </si>
  <si>
    <t>Kavita Traders repays part of loan with interest</t>
  </si>
  <si>
    <t>REF-081</t>
  </si>
  <si>
    <t>Loan Recovery</t>
  </si>
  <si>
    <t>T082</t>
  </si>
  <si>
    <t>Rent expense recognised for Oct-Dec from prepaid rent</t>
  </si>
  <si>
    <t>REF-082</t>
  </si>
  <si>
    <t>T083</t>
  </si>
  <si>
    <t>Depreciation for the quarter ended 31 December 2025</t>
  </si>
  <si>
    <t>REF-083</t>
  </si>
  <si>
    <t>T084</t>
  </si>
  <si>
    <t>Staff salaries for December 2025 (gross; TDS/PF withheld)</t>
  </si>
  <si>
    <t>REF-084</t>
  </si>
  <si>
    <t>T085</t>
  </si>
  <si>
    <t>Net salaries for December 2025 paid to staff</t>
  </si>
  <si>
    <t>REF-085</t>
  </si>
  <si>
    <t>T086</t>
  </si>
  <si>
    <t>Electricity bill Jul-Dec (outside GST)</t>
  </si>
  <si>
    <t>REF-086</t>
  </si>
  <si>
    <t>T087</t>
  </si>
  <si>
    <t>Sale of LED lamps - UPI</t>
  </si>
  <si>
    <t>REF-087</t>
  </si>
  <si>
    <t>T088</t>
  </si>
  <si>
    <t>Free-of-GST educational workshop fee for school students (illustrative exempt supply)</t>
  </si>
  <si>
    <t>REF-088</t>
  </si>
  <si>
    <t>EXEMPT</t>
  </si>
  <si>
    <t>T089</t>
  </si>
  <si>
    <t>Collection from Bright Offices LLP - balance</t>
  </si>
  <si>
    <t>REF-089</t>
  </si>
  <si>
    <t>T090</t>
  </si>
  <si>
    <t>GST return Nov-Dec: output GST set off against input credit, balance paid</t>
  </si>
  <si>
    <t>REF-090</t>
  </si>
  <si>
    <t>T091</t>
  </si>
  <si>
    <t>Purchase of backpacks for spring season on credit</t>
  </si>
  <si>
    <t>REF-091</t>
  </si>
  <si>
    <t>T092</t>
  </si>
  <si>
    <t>Staff salaries for January 2026 (gross; TDS/PF withheld)</t>
  </si>
  <si>
    <t>REF-092</t>
  </si>
  <si>
    <t>T093</t>
  </si>
  <si>
    <t>Net salaries for January 2026 paid to staff</t>
  </si>
  <si>
    <t>REF-093</t>
  </si>
  <si>
    <t>T094</t>
  </si>
  <si>
    <t>Bank charges - quarter</t>
  </si>
  <si>
    <t>REF-094</t>
  </si>
  <si>
    <t>T095</t>
  </si>
  <si>
    <t>Sale of backpacks - campus orders into Bank Account 2</t>
  </si>
  <si>
    <t>REF-095</t>
  </si>
  <si>
    <t>T096</t>
  </si>
  <si>
    <t>Installation service income received in cash</t>
  </si>
  <si>
    <t>REF-096</t>
  </si>
  <si>
    <t>T097</t>
  </si>
  <si>
    <t>Bulk sale of chargers to a retail chain - bank receipt</t>
  </si>
  <si>
    <t>REF-097</t>
  </si>
  <si>
    <t>T098</t>
  </si>
  <si>
    <t>Deposit of TDS/PF withheld Jun-Jan</t>
  </si>
  <si>
    <t>REF-098</t>
  </si>
  <si>
    <t>T099</t>
  </si>
  <si>
    <t>GST return for January: output GST set off against input credit (Feb-Mar returns fall due after year-end)</t>
  </si>
  <si>
    <t>REF-099</t>
  </si>
  <si>
    <t>T100</t>
  </si>
  <si>
    <t>Staff salaries for February 2026 (gross; TDS/PF withheld)</t>
  </si>
  <si>
    <t>REF-100</t>
  </si>
  <si>
    <t>T101</t>
  </si>
  <si>
    <t>Net salaries for February 2026 paid to staff</t>
  </si>
  <si>
    <t>REF-101</t>
  </si>
  <si>
    <t>T102</t>
  </si>
  <si>
    <t>REF-102</t>
  </si>
  <si>
    <t>T103</t>
  </si>
  <si>
    <t>Payment to Urban Gear Pvt Ltd for January purchase</t>
  </si>
  <si>
    <t>REF-103</t>
  </si>
  <si>
    <t>T104</t>
  </si>
  <si>
    <t>Transfer surplus from Bank Account 2 to Bank Account 1</t>
  </si>
  <si>
    <t>REF-104</t>
  </si>
  <si>
    <t>T105</t>
  </si>
  <si>
    <t>Restocking chargers on credit (payable at year-end)</t>
  </si>
  <si>
    <t>REF-105</t>
  </si>
  <si>
    <t>T106</t>
  </si>
  <si>
    <t>REF-106</t>
  </si>
  <si>
    <t>T107</t>
  </si>
  <si>
    <t>JOURNAL</t>
  </si>
  <si>
    <t>Year-end accrual: interest earned on loan to Kavita Traders (Jan-Mar), not yet received</t>
  </si>
  <si>
    <t>REF-107</t>
  </si>
  <si>
    <t>Year-end Adjustment</t>
  </si>
  <si>
    <t>T108</t>
  </si>
  <si>
    <t>Year-end accrual: bank loan interest for 16-31 Mar, due in next instalment</t>
  </si>
  <si>
    <t>REF-108</t>
  </si>
  <si>
    <t>T109</t>
  </si>
  <si>
    <t>Rent expense recognised for Jan-Mar from prepaid rent</t>
  </si>
  <si>
    <t>REF-109</t>
  </si>
  <si>
    <t>T110</t>
  </si>
  <si>
    <t>Year-end depreciation for the quarter ended 31 March 2026</t>
  </si>
  <si>
    <t>REF-110</t>
  </si>
  <si>
    <t>T111</t>
  </si>
  <si>
    <t>Staff salaries for March 2026 (gross; TDS/PF withheld)</t>
  </si>
  <si>
    <t>REF-111</t>
  </si>
  <si>
    <t>Count</t>
  </si>
  <si>
    <t>Journal Entries (double-entry lines)</t>
  </si>
  <si>
    <t>Journal ID</t>
  </si>
  <si>
    <t>Debit (₹)</t>
  </si>
  <si>
    <t>Credit (₹)</t>
  </si>
  <si>
    <t>JE-T001</t>
  </si>
  <si>
    <t>JE-T002</t>
  </si>
  <si>
    <t>JE-T003</t>
  </si>
  <si>
    <t>JE-T004</t>
  </si>
  <si>
    <t>JE-T005</t>
  </si>
  <si>
    <t>JE-T006</t>
  </si>
  <si>
    <t>JE-T007</t>
  </si>
  <si>
    <t>JE-T008</t>
  </si>
  <si>
    <t>JE-T009</t>
  </si>
  <si>
    <t>JE-T010</t>
  </si>
  <si>
    <t>JE-T011</t>
  </si>
  <si>
    <t>JE-T012</t>
  </si>
  <si>
    <t>JE-T013</t>
  </si>
  <si>
    <t>JE-T014</t>
  </si>
  <si>
    <t>JE-T015</t>
  </si>
  <si>
    <t>JE-T016</t>
  </si>
  <si>
    <t>JE-T017</t>
  </si>
  <si>
    <t>JE-T018</t>
  </si>
  <si>
    <t>JE-T019</t>
  </si>
  <si>
    <t>JE-T020</t>
  </si>
  <si>
    <t>JE-T021</t>
  </si>
  <si>
    <t>JE-T022</t>
  </si>
  <si>
    <t>JE-T023</t>
  </si>
  <si>
    <t>JE-T024</t>
  </si>
  <si>
    <t>JE-T025</t>
  </si>
  <si>
    <t>JE-T026</t>
  </si>
  <si>
    <t>JE-T027</t>
  </si>
  <si>
    <t>JE-T028</t>
  </si>
  <si>
    <t>JE-T029</t>
  </si>
  <si>
    <t>JE-T030</t>
  </si>
  <si>
    <t>JE-T031</t>
  </si>
  <si>
    <t>JE-T032</t>
  </si>
  <si>
    <t>JE-T033</t>
  </si>
  <si>
    <t>JE-T034</t>
  </si>
  <si>
    <t>JE-T035</t>
  </si>
  <si>
    <t>JE-T036</t>
  </si>
  <si>
    <t>JE-T037</t>
  </si>
  <si>
    <t>JE-T038</t>
  </si>
  <si>
    <t>JE-T039</t>
  </si>
  <si>
    <t>JE-T040</t>
  </si>
  <si>
    <t>JE-T041</t>
  </si>
  <si>
    <t>JE-T042</t>
  </si>
  <si>
    <t>JE-T043</t>
  </si>
  <si>
    <t>JE-T044</t>
  </si>
  <si>
    <t>JE-T045</t>
  </si>
  <si>
    <t>JE-T046</t>
  </si>
  <si>
    <t>JE-T047</t>
  </si>
  <si>
    <t>JE-T048</t>
  </si>
  <si>
    <t>JE-T049</t>
  </si>
  <si>
    <t>JE-T050</t>
  </si>
  <si>
    <t>JE-T051</t>
  </si>
  <si>
    <t>JE-T052</t>
  </si>
  <si>
    <t>JE-T053</t>
  </si>
  <si>
    <t>JE-T054</t>
  </si>
  <si>
    <t>JE-T055</t>
  </si>
  <si>
    <t>JE-T056</t>
  </si>
  <si>
    <t>JE-T057</t>
  </si>
  <si>
    <t>JE-T058</t>
  </si>
  <si>
    <t>JE-T059</t>
  </si>
  <si>
    <t>JE-T060</t>
  </si>
  <si>
    <t>JE-T061</t>
  </si>
  <si>
    <t>JE-T062</t>
  </si>
  <si>
    <t>JE-T063</t>
  </si>
  <si>
    <t>JE-T064</t>
  </si>
  <si>
    <t>JE-T065</t>
  </si>
  <si>
    <t>JE-T066</t>
  </si>
  <si>
    <t>JE-T067</t>
  </si>
  <si>
    <t>JE-T068</t>
  </si>
  <si>
    <t>JE-T069</t>
  </si>
  <si>
    <t>JE-T070</t>
  </si>
  <si>
    <t>JE-T071</t>
  </si>
  <si>
    <t>JE-T072</t>
  </si>
  <si>
    <t>JE-T073</t>
  </si>
  <si>
    <t>JE-T074</t>
  </si>
  <si>
    <t>JE-T075</t>
  </si>
  <si>
    <t>JE-T076</t>
  </si>
  <si>
    <t>JE-T077</t>
  </si>
  <si>
    <t>JE-T078</t>
  </si>
  <si>
    <t>JE-T079</t>
  </si>
  <si>
    <t>JE-T080</t>
  </si>
  <si>
    <t>JE-T081</t>
  </si>
  <si>
    <t>JE-T082</t>
  </si>
  <si>
    <t>JE-T083</t>
  </si>
  <si>
    <t>JE-T084</t>
  </si>
  <si>
    <t>JE-T085</t>
  </si>
  <si>
    <t>JE-T086</t>
  </si>
  <si>
    <t>JE-T087</t>
  </si>
  <si>
    <t>JE-T088</t>
  </si>
  <si>
    <t>JE-T089</t>
  </si>
  <si>
    <t>JE-T090</t>
  </si>
  <si>
    <t>JE-T091</t>
  </si>
  <si>
    <t>JE-T092</t>
  </si>
  <si>
    <t>JE-T093</t>
  </si>
  <si>
    <t>JE-T094</t>
  </si>
  <si>
    <t>JE-T095</t>
  </si>
  <si>
    <t>JE-T096</t>
  </si>
  <si>
    <t>JE-T097</t>
  </si>
  <si>
    <t>JE-T098</t>
  </si>
  <si>
    <t>JE-T099</t>
  </si>
  <si>
    <t>JE-T100</t>
  </si>
  <si>
    <t>JE-T101</t>
  </si>
  <si>
    <t>JE-T102</t>
  </si>
  <si>
    <t>JE-T103</t>
  </si>
  <si>
    <t>JE-T104</t>
  </si>
  <si>
    <t>JE-T105</t>
  </si>
  <si>
    <t>JE-T106</t>
  </si>
  <si>
    <t>JE-T107</t>
  </si>
  <si>
    <t>JE-T108</t>
  </si>
  <si>
    <t>JE-T109</t>
  </si>
  <si>
    <t>JE-T110</t>
  </si>
  <si>
    <t>JE-T111</t>
  </si>
  <si>
    <t>TOTAL</t>
  </si>
  <si>
    <t>DIFFERENCE</t>
  </si>
  <si>
    <t>General Ledger</t>
  </si>
  <si>
    <t>Running balance (₹)</t>
  </si>
  <si>
    <t>Opening balance (debit-side positive)</t>
  </si>
  <si>
    <t>Closing balance - Cash in Hand</t>
  </si>
  <si>
    <t>Closing balance - Bank Account 1 - HDFC Current A/c</t>
  </si>
  <si>
    <t>Closing balance - Bank Account 2 - ICICI Current A/c</t>
  </si>
  <si>
    <t>Closing balance - Accounts Receivable</t>
  </si>
  <si>
    <t>Closing balance - Accrued Interest Receivable</t>
  </si>
  <si>
    <t>Closing balance - Inventory</t>
  </si>
  <si>
    <t>Closing balance - Prepaid Rent</t>
  </si>
  <si>
    <t>Closing balance - Input GST Credit</t>
  </si>
  <si>
    <t>Closing balance - Loan Given</t>
  </si>
  <si>
    <t>Closing balance - Furniture and Fixtures</t>
  </si>
  <si>
    <t>Opening balance (credit-side positive)</t>
  </si>
  <si>
    <t>Closing balance - Accumulated Depreciation - Furniture</t>
  </si>
  <si>
    <t>Closing balance - Computer Equipment</t>
  </si>
  <si>
    <t>Closing balance - Accumulated Depreciation - Computers</t>
  </si>
  <si>
    <t>Closing balance - Delivery Vehicle</t>
  </si>
  <si>
    <t>Closing balance - Accumulated Depreciation - Vehicle</t>
  </si>
  <si>
    <t>Closing balance - Accounts Payable</t>
  </si>
  <si>
    <t>Closing balance - Salaries Payable</t>
  </si>
  <si>
    <t>Closing balance - Bank Loan</t>
  </si>
  <si>
    <t>Closing balance - Output GST Payable</t>
  </si>
  <si>
    <t>Closing balance - TDS and PF Payable</t>
  </si>
  <si>
    <t>Closing balance - Accrued Expenses</t>
  </si>
  <si>
    <t>Closing balance - Owner's Capital</t>
  </si>
  <si>
    <t>Closing balance - Sales Revenue</t>
  </si>
  <si>
    <t>Closing balance - Service Income</t>
  </si>
  <si>
    <t>Closing balance - Interest Income</t>
  </si>
  <si>
    <t>Closing balance - Cost of Goods Sold</t>
  </si>
  <si>
    <t>Closing balance - Salaries Expense</t>
  </si>
  <si>
    <t>Closing balance - Rent Expense</t>
  </si>
  <si>
    <t>Closing balance - Utilities Expense</t>
  </si>
  <si>
    <t>Closing balance - Advertising Expense</t>
  </si>
  <si>
    <t>Closing balance - Depreciation Expense</t>
  </si>
  <si>
    <t>Closing balance - Bank Charges</t>
  </si>
  <si>
    <t>Closing balance - Interest Expense</t>
  </si>
  <si>
    <t>Closing balance - Other Operating Expenses</t>
  </si>
  <si>
    <t>Trial Balance as at 2026-03-31</t>
  </si>
  <si>
    <t>Account code</t>
  </si>
  <si>
    <t>DIFFERENCE (debits - credits)</t>
  </si>
  <si>
    <t>Profit and Loss Statement for 2025-04-01 to 2026-03-31</t>
  </si>
  <si>
    <t>Particulars</t>
  </si>
  <si>
    <t>Amount (₹)</t>
  </si>
  <si>
    <t>INCOME</t>
  </si>
  <si>
    <t>Total Income</t>
  </si>
  <si>
    <t>COST OF GOODS SOLD</t>
  </si>
  <si>
    <t>Gross Profit (Sales + Service Income - Cost of Goods Sold)</t>
  </si>
  <si>
    <t>OPERATING EXPENSES</t>
  </si>
  <si>
    <t>Total Operating Expenses</t>
  </si>
  <si>
    <t>OTHER EXPENSES</t>
  </si>
  <si>
    <t>Total Expenses (COGS + Operating + Depreciation + Interest)</t>
  </si>
  <si>
    <t>NET PROFIT (Total Income - Total Expenses)</t>
  </si>
  <si>
    <t>Balance Sheet as at 2026-03-31</t>
  </si>
  <si>
    <t>ASSETS</t>
  </si>
  <si>
    <t>Current Assets</t>
  </si>
  <si>
    <t>Total Current Assets</t>
  </si>
  <si>
    <t>Loans Given</t>
  </si>
  <si>
    <t>Total Loans Given</t>
  </si>
  <si>
    <t>Fixed Assets (at cost less accumulated depreciation)</t>
  </si>
  <si>
    <t>Fixed assets at original cost</t>
  </si>
  <si>
    <t>Net Fixed Assets</t>
  </si>
  <si>
    <t>TOTAL ASSETS</t>
  </si>
  <si>
    <t>LIABILITIES</t>
  </si>
  <si>
    <t>Current Liabilities</t>
  </si>
  <si>
    <t>Total Current Liabilities</t>
  </si>
  <si>
    <t>Loan Liabilities</t>
  </si>
  <si>
    <t>Total Loan Liabilities</t>
  </si>
  <si>
    <t>TOTAL LIABILITIES</t>
  </si>
  <si>
    <t>EQUITY</t>
  </si>
  <si>
    <t>Retained Earnings / Opening Equity (incl. prior-period profit)</t>
  </si>
  <si>
    <t>TOTAL EQUITY</t>
  </si>
  <si>
    <t>TOTAL LIABILITIES AND EQUITY</t>
  </si>
  <si>
    <t>BALANCE SHEET DIFFERENCE (Assets - Liabilities - Equity)</t>
  </si>
  <si>
    <t>Status</t>
  </si>
  <si>
    <t>PASS - balanced</t>
  </si>
  <si>
    <t>Inventory (perpetual weighted-average cost)</t>
  </si>
  <si>
    <t>Movement</t>
  </si>
  <si>
    <t>Quantity</t>
  </si>
  <si>
    <t>Unit cost (₹)</t>
  </si>
  <si>
    <t>Value (₹)</t>
  </si>
  <si>
    <t>Balance qty</t>
  </si>
  <si>
    <t>Balance value (₹)</t>
  </si>
  <si>
    <t>Closing stock by item</t>
  </si>
  <si>
    <t>CLOSING</t>
  </si>
  <si>
    <t>Total inventory value</t>
  </si>
  <si>
    <t>Fixed Assets and Depreciation (straight-line, daily pro-rata)</t>
  </si>
  <si>
    <t>Asset ID</t>
  </si>
  <si>
    <t>Asset</t>
  </si>
  <si>
    <t>Purchase date</t>
  </si>
  <si>
    <t>Cost (₹)</t>
  </si>
  <si>
    <t>Residual (₹)</t>
  </si>
  <si>
    <t>Life (yrs)</t>
  </si>
  <si>
    <t>Accumulated depn (₹)</t>
  </si>
  <si>
    <t>Net book value (₹)</t>
  </si>
  <si>
    <t>Annual charge (₹)</t>
  </si>
  <si>
    <t>Depreciation postings</t>
  </si>
  <si>
    <t>Posted on</t>
  </si>
  <si>
    <t>Days</t>
  </si>
  <si>
    <t>GST Summary (simplified: single combined rate)</t>
  </si>
  <si>
    <t>Treatment</t>
  </si>
  <si>
    <t>Input GST (₹)</t>
  </si>
  <si>
    <t>Output GST (₹)</t>
  </si>
  <si>
    <t>Output set off/settled (₹)</t>
  </si>
  <si>
    <t>TAXABLE</t>
  </si>
  <si>
    <t>SETTLEMENT</t>
  </si>
  <si>
    <t>Closing Input GST Credit (asset)</t>
  </si>
  <si>
    <t>Closing Output GST Payable (liability)</t>
  </si>
  <si>
    <t>Accounting Validation Results</t>
  </si>
  <si>
    <t>Check</t>
  </si>
  <si>
    <t>Expected (₹)</t>
  </si>
  <si>
    <t>Actual (₹)</t>
  </si>
  <si>
    <t>Difference (₹)</t>
  </si>
  <si>
    <t>Result</t>
  </si>
  <si>
    <t>Detail</t>
  </si>
  <si>
    <t>J1</t>
  </si>
  <si>
    <t>Total journal debits = total journal credits</t>
  </si>
  <si>
    <t>PASS</t>
  </si>
  <si>
    <t>111 entries</t>
  </si>
  <si>
    <t>J2</t>
  </si>
  <si>
    <t>Every journal entry balances (count of unbalanced entries)</t>
  </si>
  <si>
    <t>Entries where debit != credit</t>
  </si>
  <si>
    <t>T1</t>
  </si>
  <si>
    <t>Trial Balance: total debits = total credits</t>
  </si>
  <si>
    <t>Difference column of the Trial Balance</t>
  </si>
  <si>
    <t>B1</t>
  </si>
  <si>
    <t>Balance Sheet: Total Assets = Total Liabilities + Total Equity</t>
  </si>
  <si>
    <t>Difference = Assets - Liabilities - Equity</t>
  </si>
  <si>
    <t>P1</t>
  </si>
  <si>
    <t>Net profit = Total income - Total expenses</t>
  </si>
  <si>
    <t>Recomputed from income and expense totals</t>
  </si>
  <si>
    <t>P2</t>
  </si>
  <si>
    <t>Gross profit = Sales + Service - COGS</t>
  </si>
  <si>
    <t>Trading formula</t>
  </si>
  <si>
    <t>E1</t>
  </si>
  <si>
    <t>Balance Sheet current-year profit = P&amp;L net profit</t>
  </si>
  <si>
    <t>Profit is included in equity exactly once</t>
  </si>
  <si>
    <t>E2</t>
  </si>
  <si>
    <t>Equity = capital + retained earnings + current-year profit</t>
  </si>
  <si>
    <t>Retained earnings includes prior-period profit of 0.00</t>
  </si>
  <si>
    <t>P3</t>
  </si>
  <si>
    <t>Net profit agrees with income - expenses summed straight from journal lines</t>
  </si>
  <si>
    <t>Independent aggregation</t>
  </si>
  <si>
    <t>C1001</t>
  </si>
  <si>
    <t>Cash in Hand: balance sheet = sum of its journal lines</t>
  </si>
  <si>
    <t>Cash book agreement</t>
  </si>
  <si>
    <t>C1002</t>
  </si>
  <si>
    <t>Bank Account 1 - HDFC Current A/c: balance sheet = sum of its journal lines</t>
  </si>
  <si>
    <t>C1003</t>
  </si>
  <si>
    <t>Bank Account 2 - ICICI Current A/c: balance sheet = sum of its journal lines</t>
  </si>
  <si>
    <t>C4</t>
  </si>
  <si>
    <t>No cash or bank account is ever overdrawn (lowest running balance)</t>
  </si>
  <si>
    <t>All balances stayed &gt;= 0</t>
  </si>
  <si>
    <t>I1</t>
  </si>
  <si>
    <t>Inventory ledger (1200) = inventory subledger value</t>
  </si>
  <si>
    <t>Subledger = perpetual weighted-average movements</t>
  </si>
  <si>
    <t>I2</t>
  </si>
  <si>
    <t>No item has negative stock (count)</t>
  </si>
  <si>
    <t>Policy: negative inventory disallowed unless configured</t>
  </si>
  <si>
    <t>I3</t>
  </si>
  <si>
    <t>Inventory purchased - cost of goods sold = closing inventory</t>
  </si>
  <si>
    <t>Roll-forward</t>
  </si>
  <si>
    <t>I4</t>
  </si>
  <si>
    <t>COGS ledger (5001) = cost of sale movements in subledger</t>
  </si>
  <si>
    <t>Costs leaving inventory = expense recognised</t>
  </si>
  <si>
    <t>F1</t>
  </si>
  <si>
    <t>Fixed asset cost (ledger) = asset register cost</t>
  </si>
  <si>
    <t>Three fixed assets</t>
  </si>
  <si>
    <t>F2</t>
  </si>
  <si>
    <t>Accumulated depreciation (ledger) = depreciation schedule</t>
  </si>
  <si>
    <t>Contra-asset accounts</t>
  </si>
  <si>
    <t>F3</t>
  </si>
  <si>
    <t>Net fixed assets on Balance Sheet = cost - accumulated depreciation</t>
  </si>
  <si>
    <t>Net book value</t>
  </si>
  <si>
    <t>F4</t>
  </si>
  <si>
    <t>Depreciation expense in period = depreciation schedule</t>
  </si>
  <si>
    <t>P&amp;L vs register</t>
  </si>
  <si>
    <t>S1100</t>
  </si>
  <si>
    <t>Accounts receivable ledger = sum of customer/supplier subledger balances</t>
  </si>
  <si>
    <t>3 parties</t>
  </si>
  <si>
    <t>S2001</t>
  </si>
  <si>
    <t>Accounts payable ledger = sum of customer/supplier subledger balances</t>
  </si>
  <si>
    <t>2 parties</t>
  </si>
  <si>
    <t>L1</t>
  </si>
  <si>
    <t>Bank loan (ledger) = loan received - principal repaid (interest excluded)</t>
  </si>
  <si>
    <t>Principal-only tracker</t>
  </si>
  <si>
    <t>L2</t>
  </si>
  <si>
    <t>Loan given (ledger) = loan advanced - principal recovered</t>
  </si>
  <si>
    <t>R1</t>
  </si>
  <si>
    <t>Prepaid rent (ledger) = prepaid paid - amount expensed</t>
  </si>
  <si>
    <t>Unexpired portion</t>
  </si>
  <si>
    <t>G1</t>
  </si>
  <si>
    <t>Input GST credit (ledger) = credit recorded - credit utilised</t>
  </si>
  <si>
    <t>GST on inventory, assets and expenses only; settlements reduce the 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</si>
</sst>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#,##0.00;[Red](#,##0.00);0.00"/>
  </numFmts>
  <fonts count="7" x14ac:knownFonts="1">
    <font>
      <color theme="1"/>
      <family val="2"/>
      <scheme val="minor"/>
      <sz val="11"/>
      <name val="Calibri"/>
    </font>
    <font>
      <b/>
      <color rgb="FF1F3A5F"/>
      <sz val="14"/>
    </font>
    <font>
      <i/>
      <color rgb="FF555555"/>
    </font>
    <font>
      <b/>
    </font>
    <font>
      <b/>
      <color rgb="FFFFFFFF"/>
    </font>
    <font>
      <b/>
      <color rgb="FF1F3A5F"/>
    </font>
    <font>
      <b/>
      <color rgb="FF1B7F3B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3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double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4" fillId="2" borderId="0" xfId="0" applyFont="1" applyFill="1" applyAlignment="1">
      <alignment vertical="center" wrapText="1"/>
    </xf>
    <xf numFmtId="164" fontId="0" fillId="0" borderId="0" xfId="0" applyNumberFormat="1"/>
    <xf numFmtId="165" fontId="0" fillId="0" borderId="0" xfId="0" applyNumberFormat="1"/>
    <xf numFmtId="165" fontId="1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164" fontId="4" fillId="2" borderId="0" xfId="0" applyNumberFormat="1" applyFont="1" applyFill="1" applyAlignment="1">
      <alignment vertical="center" wrapText="1"/>
    </xf>
    <xf numFmtId="165" fontId="4" fillId="2" borderId="0" xfId="0" applyNumberFormat="1" applyFont="1" applyFill="1" applyAlignment="1">
      <alignment vertical="center" wrapText="1"/>
    </xf>
    <xf numFmtId="164" fontId="3" fillId="0" borderId="0" xfId="0" applyNumberFormat="1" applyFont="1"/>
    <xf numFmtId="165" fontId="3" fillId="0" borderId="0" xfId="0" applyNumberFormat="1" applyFont="1"/>
    <xf numFmtId="0" fontId="3" fillId="0" borderId="1" xfId="0" applyFont="1" applyBorder="1"/>
    <xf numFmtId="164" fontId="3" fillId="0" borderId="1" xfId="0" applyNumberFormat="1" applyFont="1" applyBorder="1"/>
    <xf numFmtId="165" fontId="3" fillId="0" borderId="1" xfId="0" applyNumberFormat="1" applyFont="1" applyBorder="1"/>
    <xf numFmtId="0" fontId="5" fillId="0" borderId="0" xfId="0" applyFont="1"/>
    <xf numFmtId="165" fontId="5" fillId="0" borderId="0" xfId="0" applyNumberFormat="1" applyFont="1"/>
    <xf numFmtId="0" fontId="3" fillId="0" borderId="2" xfId="0" applyFont="1" applyBorder="1"/>
    <xf numFmtId="165" fontId="3" fillId="0" borderId="2" xfId="0" applyNumberFormat="1" applyFont="1" applyBorder="1"/>
    <xf numFmtId="0" fontId="6" fillId="0" borderId="0" xfId="0" applyFont="1"/>
    <xf numFmtId="165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48" customWidth="1"/>
    <col min="2" max="2" width="100" customWidth="1"/>
  </cols>
  <sheetData>
    <row r="1" spans="1:2" s="1" customFormat="1" x14ac:dyDescent="0.25">
      <c r="A1" s="1" t="s">
        <v>0</v>
      </c>
      <c r="B1" s="1"/>
    </row>
    <row r="2" spans="1:1" s="2" customFormat="1" x14ac:dyDescent="0.25">
      <c r="A2" s="2" t="s">
        <v>1</v>
      </c>
    </row>
    <row r="4" spans="1:2" x14ac:dyDescent="0.25">
      <c r="A4" s="3" t="s">
        <v>2</v>
      </c>
      <c r="B4" s="4" t="s">
        <v>3</v>
      </c>
    </row>
    <row r="5" spans="1:2" x14ac:dyDescent="0.25">
      <c r="A5" s="3" t="s">
        <v>4</v>
      </c>
      <c r="B5" s="4" t="s">
        <v>5</v>
      </c>
    </row>
    <row r="6" spans="1:2" x14ac:dyDescent="0.25">
      <c r="A6" s="3" t="s">
        <v>6</v>
      </c>
      <c r="B6" s="4" t="s">
        <v>7</v>
      </c>
    </row>
    <row r="7" spans="1:2" x14ac:dyDescent="0.25">
      <c r="A7" s="3" t="s">
        <v>8</v>
      </c>
      <c r="B7" s="4">
        <v>111</v>
      </c>
    </row>
    <row r="8" spans="1:2" x14ac:dyDescent="0.25">
      <c r="A8" s="3" t="s">
        <v>9</v>
      </c>
      <c r="B8" s="4">
        <v>111</v>
      </c>
    </row>
    <row r="9" spans="1:2" x14ac:dyDescent="0.25">
      <c r="A9" s="3" t="s">
        <v>10</v>
      </c>
      <c r="B9" s="4" t="s">
        <v>11</v>
      </c>
    </row>
    <row r="10" spans="1:2" x14ac:dyDescent="0.25">
      <c r="A10" s="3" t="s">
        <v>12</v>
      </c>
      <c r="B10" s="4" t="s">
        <v>13</v>
      </c>
    </row>
    <row r="11" spans="1:2" x14ac:dyDescent="0.25">
      <c r="A11" s="3" t="s">
        <v>14</v>
      </c>
      <c r="B11" s="4" t="s">
        <v>15</v>
      </c>
    </row>
    <row r="12" spans="1:2" x14ac:dyDescent="0.25">
      <c r="A12" s="3" t="s">
        <v>16</v>
      </c>
      <c r="B12" s="4" t="s">
        <v>17</v>
      </c>
    </row>
    <row r="13" spans="1:2" x14ac:dyDescent="0.25">
      <c r="A13" s="3" t="s">
        <v>18</v>
      </c>
      <c r="B13" s="4" t="s">
        <v>19</v>
      </c>
    </row>
    <row r="14" spans="1:2" x14ac:dyDescent="0.25">
      <c r="A14" s="3" t="s">
        <v>20</v>
      </c>
      <c r="B14" s="4" t="s">
        <v>21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42" customWidth="1"/>
    <col min="3" max="3" width="12" customWidth="1"/>
    <col min="4" max="4" width="16" customWidth="1"/>
    <col min="5" max="5" width="26" customWidth="1"/>
    <col min="6" max="6" width="10" customWidth="1"/>
  </cols>
  <sheetData>
    <row r="1" spans="1:6" s="1" customFormat="1" x14ac:dyDescent="0.25">
      <c r="A1" s="1" t="s">
        <v>22</v>
      </c>
      <c r="B1" s="1"/>
      <c r="C1" s="1"/>
      <c r="D1" s="1"/>
      <c r="E1" s="1"/>
      <c r="F1" s="1"/>
    </row>
    <row r="2" spans="1:1" s="2" customFormat="1" x14ac:dyDescent="0.25">
      <c r="A2" s="2" t="s">
        <v>1</v>
      </c>
    </row>
    <row r="4" spans="1:6" s="5" customFormat="1" x14ac:dyDescent="0.25">
      <c r="A4" s="5" t="s">
        <v>23</v>
      </c>
      <c r="B4" s="5" t="s">
        <v>24</v>
      </c>
      <c r="C4" s="5" t="s">
        <v>25</v>
      </c>
      <c r="D4" s="5" t="s">
        <v>26</v>
      </c>
      <c r="E4" s="5" t="s">
        <v>27</v>
      </c>
      <c r="F4" s="5" t="s">
        <v>28</v>
      </c>
    </row>
    <row r="5" spans="1:6" x14ac:dyDescent="0.25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</row>
    <row r="6" spans="1:6" x14ac:dyDescent="0.25">
      <c r="A6" t="s">
        <v>35</v>
      </c>
      <c r="B6" t="s">
        <v>36</v>
      </c>
      <c r="C6" t="s">
        <v>31</v>
      </c>
      <c r="D6" t="s">
        <v>32</v>
      </c>
      <c r="E6" t="s">
        <v>33</v>
      </c>
      <c r="F6" t="s">
        <v>34</v>
      </c>
    </row>
    <row r="7" spans="1:6" x14ac:dyDescent="0.25">
      <c r="A7" t="s">
        <v>37</v>
      </c>
      <c r="B7" t="s">
        <v>38</v>
      </c>
      <c r="C7" t="s">
        <v>31</v>
      </c>
      <c r="D7" t="s">
        <v>32</v>
      </c>
      <c r="E7" t="s">
        <v>33</v>
      </c>
      <c r="F7" t="s">
        <v>34</v>
      </c>
    </row>
    <row r="8" spans="1:6" x14ac:dyDescent="0.25">
      <c r="A8" t="s">
        <v>39</v>
      </c>
      <c r="B8" t="s">
        <v>40</v>
      </c>
      <c r="C8" t="s">
        <v>31</v>
      </c>
      <c r="D8" t="s">
        <v>32</v>
      </c>
      <c r="E8" t="s">
        <v>41</v>
      </c>
      <c r="F8" t="s">
        <v>34</v>
      </c>
    </row>
    <row r="9" spans="1:6" x14ac:dyDescent="0.25">
      <c r="A9" t="s">
        <v>42</v>
      </c>
      <c r="B9" t="s">
        <v>43</v>
      </c>
      <c r="C9" t="s">
        <v>31</v>
      </c>
      <c r="D9" t="s">
        <v>32</v>
      </c>
      <c r="E9" t="s">
        <v>41</v>
      </c>
      <c r="F9" t="s">
        <v>34</v>
      </c>
    </row>
    <row r="10" spans="1:6" x14ac:dyDescent="0.25">
      <c r="A10" t="s">
        <v>44</v>
      </c>
      <c r="B10" t="s">
        <v>45</v>
      </c>
      <c r="C10" t="s">
        <v>31</v>
      </c>
      <c r="D10" t="s">
        <v>32</v>
      </c>
      <c r="E10" t="s">
        <v>45</v>
      </c>
      <c r="F10" t="s">
        <v>34</v>
      </c>
    </row>
    <row r="11" spans="1:6" x14ac:dyDescent="0.25">
      <c r="A11" t="s">
        <v>46</v>
      </c>
      <c r="B11" t="s">
        <v>47</v>
      </c>
      <c r="C11" t="s">
        <v>31</v>
      </c>
      <c r="D11" t="s">
        <v>32</v>
      </c>
      <c r="E11" t="s">
        <v>48</v>
      </c>
      <c r="F11" t="s">
        <v>34</v>
      </c>
    </row>
    <row r="12" spans="1:6" x14ac:dyDescent="0.25">
      <c r="A12" t="s">
        <v>49</v>
      </c>
      <c r="B12" t="s">
        <v>50</v>
      </c>
      <c r="C12" t="s">
        <v>31</v>
      </c>
      <c r="D12" t="s">
        <v>32</v>
      </c>
      <c r="E12" t="s">
        <v>51</v>
      </c>
      <c r="F12" t="s">
        <v>34</v>
      </c>
    </row>
    <row r="13" spans="1:6" x14ac:dyDescent="0.25">
      <c r="A13" t="s">
        <v>52</v>
      </c>
      <c r="B13" t="s">
        <v>53</v>
      </c>
      <c r="C13" t="s">
        <v>31</v>
      </c>
      <c r="D13" t="s">
        <v>32</v>
      </c>
      <c r="E13" t="s">
        <v>54</v>
      </c>
      <c r="F13" t="s">
        <v>34</v>
      </c>
    </row>
    <row r="14" spans="1:6" x14ac:dyDescent="0.25">
      <c r="A14" t="s">
        <v>55</v>
      </c>
      <c r="B14" t="s">
        <v>56</v>
      </c>
      <c r="C14" t="s">
        <v>31</v>
      </c>
      <c r="D14" t="s">
        <v>32</v>
      </c>
      <c r="E14" t="s">
        <v>57</v>
      </c>
      <c r="F14" t="s">
        <v>34</v>
      </c>
    </row>
    <row r="15" spans="1:6" x14ac:dyDescent="0.25">
      <c r="A15" t="s">
        <v>58</v>
      </c>
      <c r="B15" t="s">
        <v>59</v>
      </c>
      <c r="C15" t="s">
        <v>31</v>
      </c>
      <c r="D15" t="s">
        <v>60</v>
      </c>
      <c r="E15" t="s">
        <v>57</v>
      </c>
      <c r="F15" t="s">
        <v>61</v>
      </c>
    </row>
    <row r="16" spans="1:6" x14ac:dyDescent="0.25">
      <c r="A16" t="s">
        <v>62</v>
      </c>
      <c r="B16" t="s">
        <v>63</v>
      </c>
      <c r="C16" t="s">
        <v>31</v>
      </c>
      <c r="D16" t="s">
        <v>32</v>
      </c>
      <c r="E16" t="s">
        <v>57</v>
      </c>
      <c r="F16" t="s">
        <v>34</v>
      </c>
    </row>
    <row r="17" spans="1:6" x14ac:dyDescent="0.25">
      <c r="A17" t="s">
        <v>64</v>
      </c>
      <c r="B17" t="s">
        <v>65</v>
      </c>
      <c r="C17" t="s">
        <v>31</v>
      </c>
      <c r="D17" t="s">
        <v>60</v>
      </c>
      <c r="E17" t="s">
        <v>57</v>
      </c>
      <c r="F17" t="s">
        <v>61</v>
      </c>
    </row>
    <row r="18" spans="1:6" x14ac:dyDescent="0.25">
      <c r="A18" t="s">
        <v>66</v>
      </c>
      <c r="B18" t="s">
        <v>67</v>
      </c>
      <c r="C18" t="s">
        <v>31</v>
      </c>
      <c r="D18" t="s">
        <v>32</v>
      </c>
      <c r="E18" t="s">
        <v>57</v>
      </c>
      <c r="F18" t="s">
        <v>34</v>
      </c>
    </row>
    <row r="19" spans="1:6" x14ac:dyDescent="0.25">
      <c r="A19" t="s">
        <v>68</v>
      </c>
      <c r="B19" t="s">
        <v>69</v>
      </c>
      <c r="C19" t="s">
        <v>31</v>
      </c>
      <c r="D19" t="s">
        <v>60</v>
      </c>
      <c r="E19" t="s">
        <v>57</v>
      </c>
      <c r="F19" t="s">
        <v>61</v>
      </c>
    </row>
    <row r="20" spans="1:6" x14ac:dyDescent="0.25">
      <c r="A20" t="s">
        <v>70</v>
      </c>
      <c r="B20" t="s">
        <v>71</v>
      </c>
      <c r="C20" t="s">
        <v>72</v>
      </c>
      <c r="D20" t="s">
        <v>60</v>
      </c>
      <c r="E20" t="s">
        <v>73</v>
      </c>
      <c r="F20" t="s">
        <v>34</v>
      </c>
    </row>
    <row r="21" spans="1:6" x14ac:dyDescent="0.25">
      <c r="A21" t="s">
        <v>74</v>
      </c>
      <c r="B21" t="s">
        <v>75</v>
      </c>
      <c r="C21" t="s">
        <v>72</v>
      </c>
      <c r="D21" t="s">
        <v>60</v>
      </c>
      <c r="E21" t="s">
        <v>73</v>
      </c>
      <c r="F21" t="s">
        <v>34</v>
      </c>
    </row>
    <row r="22" spans="1:6" x14ac:dyDescent="0.25">
      <c r="A22" t="s">
        <v>76</v>
      </c>
      <c r="B22" t="s">
        <v>77</v>
      </c>
      <c r="C22" t="s">
        <v>72</v>
      </c>
      <c r="D22" t="s">
        <v>60</v>
      </c>
      <c r="E22" t="s">
        <v>54</v>
      </c>
      <c r="F22" t="s">
        <v>34</v>
      </c>
    </row>
    <row r="23" spans="1:6" x14ac:dyDescent="0.25">
      <c r="A23" t="s">
        <v>78</v>
      </c>
      <c r="B23" t="s">
        <v>79</v>
      </c>
      <c r="C23" t="s">
        <v>72</v>
      </c>
      <c r="D23" t="s">
        <v>60</v>
      </c>
      <c r="E23" t="s">
        <v>51</v>
      </c>
      <c r="F23" t="s">
        <v>34</v>
      </c>
    </row>
    <row r="24" spans="1:6" x14ac:dyDescent="0.25">
      <c r="A24" t="s">
        <v>80</v>
      </c>
      <c r="B24" t="s">
        <v>81</v>
      </c>
      <c r="C24" t="s">
        <v>72</v>
      </c>
      <c r="D24" t="s">
        <v>60</v>
      </c>
      <c r="E24" t="s">
        <v>82</v>
      </c>
      <c r="F24" t="s">
        <v>34</v>
      </c>
    </row>
    <row r="25" spans="1:6" x14ac:dyDescent="0.25">
      <c r="A25" t="s">
        <v>83</v>
      </c>
      <c r="B25" t="s">
        <v>84</v>
      </c>
      <c r="C25" t="s">
        <v>72</v>
      </c>
      <c r="D25" t="s">
        <v>60</v>
      </c>
      <c r="E25" t="s">
        <v>82</v>
      </c>
      <c r="F25" t="s">
        <v>34</v>
      </c>
    </row>
    <row r="26" spans="1:6" x14ac:dyDescent="0.25">
      <c r="A26" t="s">
        <v>85</v>
      </c>
      <c r="B26" t="s">
        <v>86</v>
      </c>
      <c r="C26" t="s">
        <v>87</v>
      </c>
      <c r="D26" t="s">
        <v>60</v>
      </c>
      <c r="E26" t="s">
        <v>88</v>
      </c>
      <c r="F26" t="s">
        <v>34</v>
      </c>
    </row>
    <row r="27" spans="1:6" x14ac:dyDescent="0.25">
      <c r="A27" t="s">
        <v>89</v>
      </c>
      <c r="B27" t="s">
        <v>90</v>
      </c>
      <c r="C27" t="s">
        <v>87</v>
      </c>
      <c r="D27" t="s">
        <v>60</v>
      </c>
      <c r="E27" t="s">
        <v>88</v>
      </c>
      <c r="F27" t="s">
        <v>34</v>
      </c>
    </row>
    <row r="28" spans="1:6" x14ac:dyDescent="0.25">
      <c r="A28" t="s">
        <v>91</v>
      </c>
      <c r="B28" t="s">
        <v>92</v>
      </c>
      <c r="C28" t="s">
        <v>87</v>
      </c>
      <c r="D28" t="s">
        <v>60</v>
      </c>
      <c r="E28" t="s">
        <v>88</v>
      </c>
      <c r="F28" t="s">
        <v>34</v>
      </c>
    </row>
    <row r="29" spans="1:6" x14ac:dyDescent="0.25">
      <c r="A29" t="s">
        <v>93</v>
      </c>
      <c r="B29" t="s">
        <v>94</v>
      </c>
      <c r="C29" t="s">
        <v>95</v>
      </c>
      <c r="D29" t="s">
        <v>60</v>
      </c>
      <c r="E29" t="s">
        <v>96</v>
      </c>
      <c r="F29" t="s">
        <v>34</v>
      </c>
    </row>
    <row r="30" spans="1:6" x14ac:dyDescent="0.25">
      <c r="A30" t="s">
        <v>97</v>
      </c>
      <c r="B30" t="s">
        <v>98</v>
      </c>
      <c r="C30" t="s">
        <v>95</v>
      </c>
      <c r="D30" t="s">
        <v>60</v>
      </c>
      <c r="E30" t="s">
        <v>96</v>
      </c>
      <c r="F30" t="s">
        <v>34</v>
      </c>
    </row>
    <row r="31" spans="1:6" x14ac:dyDescent="0.25">
      <c r="A31" t="s">
        <v>99</v>
      </c>
      <c r="B31" t="s">
        <v>100</v>
      </c>
      <c r="C31" t="s">
        <v>95</v>
      </c>
      <c r="D31" t="s">
        <v>60</v>
      </c>
      <c r="E31" t="s">
        <v>96</v>
      </c>
      <c r="F31" t="s">
        <v>34</v>
      </c>
    </row>
    <row r="32" spans="1:6" x14ac:dyDescent="0.25">
      <c r="A32" t="s">
        <v>101</v>
      </c>
      <c r="B32" t="s">
        <v>102</v>
      </c>
      <c r="C32" t="s">
        <v>103</v>
      </c>
      <c r="D32" t="s">
        <v>32</v>
      </c>
      <c r="E32" t="s">
        <v>104</v>
      </c>
      <c r="F32" t="s">
        <v>34</v>
      </c>
    </row>
    <row r="33" spans="1:6" x14ac:dyDescent="0.25">
      <c r="A33" t="s">
        <v>105</v>
      </c>
      <c r="B33" t="s">
        <v>106</v>
      </c>
      <c r="C33" t="s">
        <v>103</v>
      </c>
      <c r="D33" t="s">
        <v>32</v>
      </c>
      <c r="E33" t="s">
        <v>107</v>
      </c>
      <c r="F33" t="s">
        <v>34</v>
      </c>
    </row>
    <row r="34" spans="1:6" x14ac:dyDescent="0.25">
      <c r="A34" t="s">
        <v>108</v>
      </c>
      <c r="B34" t="s">
        <v>109</v>
      </c>
      <c r="C34" t="s">
        <v>103</v>
      </c>
      <c r="D34" t="s">
        <v>32</v>
      </c>
      <c r="E34" t="s">
        <v>107</v>
      </c>
      <c r="F34" t="s">
        <v>34</v>
      </c>
    </row>
    <row r="35" spans="1:6" x14ac:dyDescent="0.25">
      <c r="A35" t="s">
        <v>110</v>
      </c>
      <c r="B35" t="s">
        <v>111</v>
      </c>
      <c r="C35" t="s">
        <v>103</v>
      </c>
      <c r="D35" t="s">
        <v>32</v>
      </c>
      <c r="E35" t="s">
        <v>107</v>
      </c>
      <c r="F35" t="s">
        <v>34</v>
      </c>
    </row>
    <row r="36" spans="1:6" x14ac:dyDescent="0.25">
      <c r="A36" t="s">
        <v>112</v>
      </c>
      <c r="B36" t="s">
        <v>113</v>
      </c>
      <c r="C36" t="s">
        <v>103</v>
      </c>
      <c r="D36" t="s">
        <v>32</v>
      </c>
      <c r="E36" t="s">
        <v>107</v>
      </c>
      <c r="F36" t="s">
        <v>34</v>
      </c>
    </row>
    <row r="37" spans="1:6" x14ac:dyDescent="0.25">
      <c r="A37" t="s">
        <v>114</v>
      </c>
      <c r="B37" t="s">
        <v>115</v>
      </c>
      <c r="C37" t="s">
        <v>103</v>
      </c>
      <c r="D37" t="s">
        <v>32</v>
      </c>
      <c r="E37" t="s">
        <v>107</v>
      </c>
      <c r="F37" t="s">
        <v>34</v>
      </c>
    </row>
    <row r="38" spans="1:6" x14ac:dyDescent="0.25">
      <c r="A38" t="s">
        <v>116</v>
      </c>
      <c r="B38" t="s">
        <v>117</v>
      </c>
      <c r="C38" t="s">
        <v>103</v>
      </c>
      <c r="D38" t="s">
        <v>32</v>
      </c>
      <c r="E38" t="s">
        <v>107</v>
      </c>
      <c r="F38" t="s">
        <v>34</v>
      </c>
    </row>
    <row r="39" spans="1:6" x14ac:dyDescent="0.25">
      <c r="A39" t="s">
        <v>118</v>
      </c>
      <c r="B39" t="s">
        <v>119</v>
      </c>
      <c r="C39" t="s">
        <v>103</v>
      </c>
      <c r="D39" t="s">
        <v>32</v>
      </c>
      <c r="E39" t="s">
        <v>120</v>
      </c>
      <c r="F39" t="s">
        <v>34</v>
      </c>
    </row>
    <row r="40" spans="1:6" x14ac:dyDescent="0.25">
      <c r="A40" t="s">
        <v>121</v>
      </c>
      <c r="B40" t="s">
        <v>122</v>
      </c>
      <c r="C40" t="s">
        <v>103</v>
      </c>
      <c r="D40" t="s">
        <v>32</v>
      </c>
      <c r="E40" t="s">
        <v>107</v>
      </c>
      <c r="F40" t="s">
        <v>34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2" max="2" width="13" style="6" customWidth="1"/>
    <col min="3" max="3" width="18" customWidth="1"/>
    <col min="4" max="4" width="60" customWidth="1"/>
    <col min="5" max="5" width="22" customWidth="1"/>
    <col min="6" max="6" width="11" customWidth="1"/>
    <col min="7" max="7" width="20" customWidth="1"/>
    <col min="8" max="8" width="8" customWidth="1"/>
    <col min="9" max="9" width="8" style="7" customWidth="1"/>
    <col min="10" max="10" width="12" style="7" customWidth="1"/>
    <col min="11" max="11" width="14" style="7" customWidth="1"/>
    <col min="12" max="12" width="7" customWidth="1"/>
    <col min="13" max="13" width="14" customWidth="1"/>
    <col min="15" max="16" width="10" customWidth="1"/>
    <col min="17" max="18" width="12" style="7" customWidth="1"/>
  </cols>
  <sheetData>
    <row r="1" spans="1:18" s="1" customFormat="1" x14ac:dyDescent="0.25">
      <c r="A1" s="8" t="s">
        <v>123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Q1" s="8"/>
      <c r="R1" s="8"/>
    </row>
    <row r="2" spans="1:18" s="2" customFormat="1" x14ac:dyDescent="0.25">
      <c r="A2" s="2" t="s">
        <v>1</v>
      </c>
      <c r="B2" s="9"/>
      <c r="I2" s="10"/>
      <c r="J2" s="10"/>
      <c r="K2" s="10"/>
      <c r="Q2" s="10"/>
      <c r="R2" s="10"/>
    </row>
    <row r="4" spans="1:18" s="5" customFormat="1" x14ac:dyDescent="0.25">
      <c r="A4" s="5" t="s">
        <v>124</v>
      </c>
      <c r="B4" s="11" t="s">
        <v>125</v>
      </c>
      <c r="C4" s="5" t="s">
        <v>25</v>
      </c>
      <c r="D4" s="5" t="s">
        <v>126</v>
      </c>
      <c r="E4" s="5" t="s">
        <v>127</v>
      </c>
      <c r="F4" s="5" t="s">
        <v>128</v>
      </c>
      <c r="G4" s="5" t="s">
        <v>129</v>
      </c>
      <c r="H4" s="5" t="s">
        <v>130</v>
      </c>
      <c r="I4" s="12" t="s">
        <v>131</v>
      </c>
      <c r="J4" s="12" t="s">
        <v>132</v>
      </c>
      <c r="K4" s="12" t="s">
        <v>133</v>
      </c>
      <c r="L4" s="5" t="s">
        <v>134</v>
      </c>
      <c r="M4" s="5" t="s">
        <v>135</v>
      </c>
      <c r="N4" s="5" t="s">
        <v>136</v>
      </c>
      <c r="O4" s="5" t="s">
        <v>137</v>
      </c>
      <c r="P4" s="5" t="s">
        <v>138</v>
      </c>
      <c r="Q4" s="12" t="s">
        <v>139</v>
      </c>
      <c r="R4" s="12" t="s">
        <v>140</v>
      </c>
    </row>
    <row r="5" spans="1:18" x14ac:dyDescent="0.25">
      <c r="A5" t="s">
        <v>141</v>
      </c>
      <c r="B5" s="6">
        <v>45748</v>
      </c>
      <c r="C5" t="s">
        <v>142</v>
      </c>
      <c r="D5" t="s">
        <v>143</v>
      </c>
      <c r="E5" t="s">
        <v>34</v>
      </c>
      <c r="F5" t="s">
        <v>144</v>
      </c>
      <c r="G5" t="s">
        <v>145</v>
      </c>
      <c r="H5" t="s">
        <v>34</v>
      </c>
      <c r="I5" s="7"/>
      <c r="J5" s="7"/>
      <c r="K5" s="7">
        <v>2500000</v>
      </c>
      <c r="M5" t="s">
        <v>34</v>
      </c>
      <c r="N5" t="s">
        <v>34</v>
      </c>
      <c r="O5" t="s">
        <v>35</v>
      </c>
      <c r="P5" t="s">
        <v>34</v>
      </c>
      <c r="Q5" s="7"/>
      <c r="R5" s="7"/>
    </row>
    <row r="6" spans="1:18" x14ac:dyDescent="0.25">
      <c r="A6" t="s">
        <v>146</v>
      </c>
      <c r="B6" s="6">
        <v>45748</v>
      </c>
      <c r="C6" t="s">
        <v>142</v>
      </c>
      <c r="D6" t="s">
        <v>147</v>
      </c>
      <c r="E6" t="s">
        <v>34</v>
      </c>
      <c r="F6" t="s">
        <v>148</v>
      </c>
      <c r="G6" t="s">
        <v>145</v>
      </c>
      <c r="H6" t="s">
        <v>34</v>
      </c>
      <c r="I6" s="7"/>
      <c r="J6" s="7"/>
      <c r="K6" s="7">
        <v>100000</v>
      </c>
      <c r="M6" t="s">
        <v>34</v>
      </c>
      <c r="N6" t="s">
        <v>34</v>
      </c>
      <c r="O6" t="s">
        <v>29</v>
      </c>
      <c r="P6" t="s">
        <v>34</v>
      </c>
      <c r="Q6" s="7"/>
      <c r="R6" s="7"/>
    </row>
    <row r="7" spans="1:18" x14ac:dyDescent="0.25">
      <c r="A7" t="s">
        <v>149</v>
      </c>
      <c r="B7" s="6">
        <v>45749</v>
      </c>
      <c r="C7" t="s">
        <v>150</v>
      </c>
      <c r="D7" t="s">
        <v>151</v>
      </c>
      <c r="E7" t="s">
        <v>34</v>
      </c>
      <c r="F7" t="s">
        <v>152</v>
      </c>
      <c r="G7" t="s">
        <v>153</v>
      </c>
      <c r="H7" t="s">
        <v>34</v>
      </c>
      <c r="I7" s="7"/>
      <c r="J7" s="7"/>
      <c r="K7" s="7">
        <v>800000</v>
      </c>
      <c r="M7" t="s">
        <v>34</v>
      </c>
      <c r="N7" t="s">
        <v>34</v>
      </c>
      <c r="O7" t="s">
        <v>35</v>
      </c>
      <c r="P7" t="s">
        <v>37</v>
      </c>
      <c r="Q7" s="7"/>
      <c r="R7" s="7"/>
    </row>
    <row r="8" spans="1:18" x14ac:dyDescent="0.25">
      <c r="A8" t="s">
        <v>154</v>
      </c>
      <c r="B8" s="6">
        <v>45749</v>
      </c>
      <c r="C8" t="s">
        <v>150</v>
      </c>
      <c r="D8" t="s">
        <v>155</v>
      </c>
      <c r="E8" t="s">
        <v>34</v>
      </c>
      <c r="F8" t="s">
        <v>156</v>
      </c>
      <c r="G8" t="s">
        <v>157</v>
      </c>
      <c r="H8" t="s">
        <v>34</v>
      </c>
      <c r="I8" s="7"/>
      <c r="J8" s="7"/>
      <c r="K8" s="7">
        <v>60000</v>
      </c>
      <c r="M8" t="s">
        <v>34</v>
      </c>
      <c r="N8" t="s">
        <v>34</v>
      </c>
      <c r="O8" t="s">
        <v>35</v>
      </c>
      <c r="P8" t="s">
        <v>29</v>
      </c>
      <c r="Q8" s="7"/>
      <c r="R8" s="7"/>
    </row>
    <row r="9" spans="1:18" x14ac:dyDescent="0.25">
      <c r="A9" t="s">
        <v>158</v>
      </c>
      <c r="B9" s="6">
        <v>45750</v>
      </c>
      <c r="C9" t="s">
        <v>159</v>
      </c>
      <c r="D9" t="s">
        <v>160</v>
      </c>
      <c r="E9" t="s">
        <v>161</v>
      </c>
      <c r="F9" t="s">
        <v>162</v>
      </c>
      <c r="G9" t="s">
        <v>57</v>
      </c>
      <c r="H9" t="s">
        <v>163</v>
      </c>
      <c r="I9" s="7"/>
      <c r="J9" s="7"/>
      <c r="K9" s="7">
        <v>150000</v>
      </c>
      <c r="L9">
        <v>18</v>
      </c>
      <c r="M9" t="s">
        <v>34</v>
      </c>
      <c r="N9" t="s">
        <v>55</v>
      </c>
      <c r="O9" t="s">
        <v>35</v>
      </c>
      <c r="P9" t="s">
        <v>34</v>
      </c>
      <c r="Q9" s="7"/>
      <c r="R9" s="7"/>
    </row>
    <row r="10" spans="1:18" x14ac:dyDescent="0.25">
      <c r="A10" t="s">
        <v>164</v>
      </c>
      <c r="B10" s="6">
        <v>45751</v>
      </c>
      <c r="C10" t="s">
        <v>159</v>
      </c>
      <c r="D10" t="s">
        <v>165</v>
      </c>
      <c r="E10" t="s">
        <v>166</v>
      </c>
      <c r="F10" t="s">
        <v>167</v>
      </c>
      <c r="G10" t="s">
        <v>57</v>
      </c>
      <c r="H10" t="s">
        <v>168</v>
      </c>
      <c r="I10" s="7"/>
      <c r="J10" s="7"/>
      <c r="K10" s="7">
        <v>120000</v>
      </c>
      <c r="L10">
        <v>18</v>
      </c>
      <c r="M10" t="s">
        <v>34</v>
      </c>
      <c r="N10" t="s">
        <v>62</v>
      </c>
      <c r="O10" t="s">
        <v>37</v>
      </c>
      <c r="P10" t="s">
        <v>34</v>
      </c>
      <c r="Q10" s="7"/>
      <c r="R10" s="7"/>
    </row>
    <row r="11" spans="1:18" x14ac:dyDescent="0.25">
      <c r="A11" t="s">
        <v>169</v>
      </c>
      <c r="B11" s="6">
        <v>45752</v>
      </c>
      <c r="C11" t="s">
        <v>170</v>
      </c>
      <c r="D11" t="s">
        <v>171</v>
      </c>
      <c r="E11" t="s">
        <v>172</v>
      </c>
      <c r="F11" t="s">
        <v>173</v>
      </c>
      <c r="G11" t="s">
        <v>174</v>
      </c>
      <c r="H11" t="s">
        <v>34</v>
      </c>
      <c r="I11" s="7"/>
      <c r="J11" s="7"/>
      <c r="K11" s="7">
        <v>800000</v>
      </c>
      <c r="M11" t="s">
        <v>34</v>
      </c>
      <c r="N11" t="s">
        <v>34</v>
      </c>
      <c r="O11" t="s">
        <v>35</v>
      </c>
      <c r="P11" t="s">
        <v>34</v>
      </c>
      <c r="Q11" s="7"/>
      <c r="R11" s="7"/>
    </row>
    <row r="12" spans="1:18" x14ac:dyDescent="0.25">
      <c r="A12" t="s">
        <v>175</v>
      </c>
      <c r="B12" s="6">
        <v>45753</v>
      </c>
      <c r="C12" t="s">
        <v>159</v>
      </c>
      <c r="D12" t="s">
        <v>176</v>
      </c>
      <c r="E12" t="s">
        <v>177</v>
      </c>
      <c r="F12" t="s">
        <v>178</v>
      </c>
      <c r="G12" t="s">
        <v>57</v>
      </c>
      <c r="H12" t="s">
        <v>179</v>
      </c>
      <c r="I12" s="7"/>
      <c r="J12" s="7"/>
      <c r="K12" s="7">
        <v>500000</v>
      </c>
      <c r="L12">
        <v>18</v>
      </c>
      <c r="M12" t="s">
        <v>34</v>
      </c>
      <c r="N12" t="s">
        <v>66</v>
      </c>
      <c r="O12" t="s">
        <v>35</v>
      </c>
      <c r="P12" t="s">
        <v>34</v>
      </c>
      <c r="Q12" s="7"/>
      <c r="R12" s="7"/>
    </row>
    <row r="13" spans="1:18" x14ac:dyDescent="0.25">
      <c r="A13" t="s">
        <v>180</v>
      </c>
      <c r="B13" s="6">
        <v>45757</v>
      </c>
      <c r="C13" t="s">
        <v>181</v>
      </c>
      <c r="D13" t="s">
        <v>182</v>
      </c>
      <c r="E13" t="s">
        <v>183</v>
      </c>
      <c r="F13" t="s">
        <v>184</v>
      </c>
      <c r="G13" t="s">
        <v>185</v>
      </c>
      <c r="H13" t="s">
        <v>34</v>
      </c>
      <c r="I13" s="7"/>
      <c r="J13" s="7"/>
      <c r="K13" s="7">
        <v>66000</v>
      </c>
      <c r="L13">
        <v>18</v>
      </c>
      <c r="M13" t="s">
        <v>34</v>
      </c>
      <c r="N13" t="s">
        <v>108</v>
      </c>
      <c r="O13" t="s">
        <v>35</v>
      </c>
      <c r="P13" t="s">
        <v>34</v>
      </c>
      <c r="Q13" s="7"/>
      <c r="R13" s="7"/>
    </row>
    <row r="14" spans="1:18" x14ac:dyDescent="0.25">
      <c r="A14" t="s">
        <v>186</v>
      </c>
      <c r="B14" s="6">
        <v>45759</v>
      </c>
      <c r="C14" t="s">
        <v>187</v>
      </c>
      <c r="D14" t="s">
        <v>188</v>
      </c>
      <c r="E14" t="s">
        <v>189</v>
      </c>
      <c r="F14" t="s">
        <v>190</v>
      </c>
      <c r="G14" t="s">
        <v>191</v>
      </c>
      <c r="H14" t="s">
        <v>192</v>
      </c>
      <c r="I14" s="7">
        <v>1000</v>
      </c>
      <c r="J14" s="7">
        <v>280</v>
      </c>
      <c r="K14" s="7"/>
      <c r="L14">
        <v>18</v>
      </c>
      <c r="M14" t="s">
        <v>34</v>
      </c>
      <c r="N14" t="s">
        <v>34</v>
      </c>
      <c r="O14" t="s">
        <v>35</v>
      </c>
      <c r="P14" t="s">
        <v>34</v>
      </c>
      <c r="Q14" s="7"/>
      <c r="R14" s="7"/>
    </row>
    <row r="15" spans="1:18" x14ac:dyDescent="0.25">
      <c r="A15" t="s">
        <v>193</v>
      </c>
      <c r="B15" s="6">
        <v>45761</v>
      </c>
      <c r="C15" t="s">
        <v>187</v>
      </c>
      <c r="D15" t="s">
        <v>194</v>
      </c>
      <c r="E15" t="s">
        <v>195</v>
      </c>
      <c r="F15" t="s">
        <v>196</v>
      </c>
      <c r="G15" t="s">
        <v>191</v>
      </c>
      <c r="H15" t="s">
        <v>197</v>
      </c>
      <c r="I15" s="7">
        <v>400</v>
      </c>
      <c r="J15" s="7">
        <v>900</v>
      </c>
      <c r="K15" s="7"/>
      <c r="L15">
        <v>12</v>
      </c>
      <c r="M15" t="s">
        <v>34</v>
      </c>
      <c r="N15" t="s">
        <v>34</v>
      </c>
      <c r="O15" t="s">
        <v>198</v>
      </c>
      <c r="P15" t="s">
        <v>34</v>
      </c>
      <c r="Q15" s="7"/>
      <c r="R15" s="7"/>
    </row>
    <row r="16" spans="1:18" x14ac:dyDescent="0.25">
      <c r="A16" t="s">
        <v>199</v>
      </c>
      <c r="B16" s="6">
        <v>45765</v>
      </c>
      <c r="C16" t="s">
        <v>187</v>
      </c>
      <c r="D16" t="s">
        <v>200</v>
      </c>
      <c r="E16" t="s">
        <v>201</v>
      </c>
      <c r="F16" t="s">
        <v>202</v>
      </c>
      <c r="G16" t="s">
        <v>191</v>
      </c>
      <c r="H16" t="s">
        <v>203</v>
      </c>
      <c r="I16" s="7">
        <v>500</v>
      </c>
      <c r="J16" s="7">
        <v>650</v>
      </c>
      <c r="K16" s="7"/>
      <c r="L16">
        <v>18</v>
      </c>
      <c r="M16" t="s">
        <v>34</v>
      </c>
      <c r="N16" t="s">
        <v>34</v>
      </c>
      <c r="O16" t="s">
        <v>37</v>
      </c>
      <c r="P16" t="s">
        <v>34</v>
      </c>
      <c r="Q16" s="7"/>
      <c r="R16" s="7"/>
    </row>
    <row r="17" spans="1:18" x14ac:dyDescent="0.25">
      <c r="A17" t="s">
        <v>204</v>
      </c>
      <c r="B17" s="6">
        <v>45767</v>
      </c>
      <c r="C17" t="s">
        <v>205</v>
      </c>
      <c r="D17" t="s">
        <v>206</v>
      </c>
      <c r="E17" t="s">
        <v>207</v>
      </c>
      <c r="F17" t="s">
        <v>208</v>
      </c>
      <c r="G17" t="s">
        <v>209</v>
      </c>
      <c r="H17" t="s">
        <v>192</v>
      </c>
      <c r="I17" s="7">
        <v>100</v>
      </c>
      <c r="J17" s="7">
        <v>490</v>
      </c>
      <c r="K17" s="7"/>
      <c r="L17">
        <v>18</v>
      </c>
      <c r="M17" t="s">
        <v>34</v>
      </c>
      <c r="N17" t="s">
        <v>34</v>
      </c>
      <c r="O17" t="s">
        <v>29</v>
      </c>
      <c r="P17" t="s">
        <v>34</v>
      </c>
      <c r="Q17" s="7"/>
      <c r="R17" s="7"/>
    </row>
    <row r="18" spans="1:18" x14ac:dyDescent="0.25">
      <c r="A18" t="s">
        <v>210</v>
      </c>
      <c r="B18" s="6">
        <v>45769</v>
      </c>
      <c r="C18" t="s">
        <v>205</v>
      </c>
      <c r="D18" t="s">
        <v>211</v>
      </c>
      <c r="E18" t="s">
        <v>212</v>
      </c>
      <c r="F18" t="s">
        <v>213</v>
      </c>
      <c r="G18" t="s">
        <v>209</v>
      </c>
      <c r="H18" t="s">
        <v>197</v>
      </c>
      <c r="I18" s="7">
        <v>60</v>
      </c>
      <c r="J18" s="7">
        <v>1650</v>
      </c>
      <c r="K18" s="7"/>
      <c r="L18">
        <v>12</v>
      </c>
      <c r="M18" t="s">
        <v>34</v>
      </c>
      <c r="N18" t="s">
        <v>34</v>
      </c>
      <c r="O18" t="s">
        <v>198</v>
      </c>
      <c r="P18" t="s">
        <v>34</v>
      </c>
      <c r="Q18" s="7"/>
      <c r="R18" s="7"/>
    </row>
    <row r="19" spans="1:18" x14ac:dyDescent="0.25">
      <c r="A19" t="s">
        <v>214</v>
      </c>
      <c r="B19" s="6">
        <v>45772</v>
      </c>
      <c r="C19" t="s">
        <v>205</v>
      </c>
      <c r="D19" t="s">
        <v>215</v>
      </c>
      <c r="E19" t="s">
        <v>207</v>
      </c>
      <c r="F19" t="s">
        <v>216</v>
      </c>
      <c r="G19" t="s">
        <v>209</v>
      </c>
      <c r="H19" t="s">
        <v>203</v>
      </c>
      <c r="I19" s="7">
        <v>40</v>
      </c>
      <c r="J19" s="7">
        <v>1250</v>
      </c>
      <c r="K19" s="7"/>
      <c r="L19">
        <v>18</v>
      </c>
      <c r="M19" t="s">
        <v>34</v>
      </c>
      <c r="N19" t="s">
        <v>34</v>
      </c>
      <c r="O19" t="s">
        <v>37</v>
      </c>
      <c r="P19" t="s">
        <v>34</v>
      </c>
      <c r="Q19" s="7"/>
      <c r="R19" s="7"/>
    </row>
    <row r="20" spans="1:18" x14ac:dyDescent="0.25">
      <c r="A20" t="s">
        <v>217</v>
      </c>
      <c r="B20" s="6">
        <v>45773</v>
      </c>
      <c r="C20" t="s">
        <v>181</v>
      </c>
      <c r="D20" t="s">
        <v>218</v>
      </c>
      <c r="E20" t="s">
        <v>219</v>
      </c>
      <c r="F20" t="s">
        <v>220</v>
      </c>
      <c r="G20" t="s">
        <v>221</v>
      </c>
      <c r="H20" t="s">
        <v>34</v>
      </c>
      <c r="I20" s="7"/>
      <c r="J20" s="7"/>
      <c r="K20" s="7">
        <v>8500</v>
      </c>
      <c r="M20" t="s">
        <v>222</v>
      </c>
      <c r="N20" t="s">
        <v>110</v>
      </c>
      <c r="O20" t="s">
        <v>37</v>
      </c>
      <c r="P20" t="s">
        <v>34</v>
      </c>
      <c r="Q20" s="7"/>
      <c r="R20" s="7"/>
    </row>
    <row r="21" spans="1:18" x14ac:dyDescent="0.25">
      <c r="A21" t="s">
        <v>223</v>
      </c>
      <c r="B21" s="6">
        <v>45775</v>
      </c>
      <c r="C21" t="s">
        <v>181</v>
      </c>
      <c r="D21" t="s">
        <v>224</v>
      </c>
      <c r="E21" t="s">
        <v>225</v>
      </c>
      <c r="F21" t="s">
        <v>226</v>
      </c>
      <c r="G21" t="s">
        <v>227</v>
      </c>
      <c r="H21" t="s">
        <v>34</v>
      </c>
      <c r="I21" s="7"/>
      <c r="J21" s="7"/>
      <c r="K21" s="7">
        <v>25000</v>
      </c>
      <c r="L21">
        <v>18</v>
      </c>
      <c r="M21" t="s">
        <v>34</v>
      </c>
      <c r="N21" t="s">
        <v>112</v>
      </c>
      <c r="O21" t="s">
        <v>37</v>
      </c>
      <c r="P21" t="s">
        <v>34</v>
      </c>
      <c r="Q21" s="7"/>
      <c r="R21" s="7"/>
    </row>
    <row r="22" spans="1:18" x14ac:dyDescent="0.25">
      <c r="A22" t="s">
        <v>228</v>
      </c>
      <c r="B22" s="6">
        <v>45777</v>
      </c>
      <c r="C22" t="s">
        <v>229</v>
      </c>
      <c r="D22" t="s">
        <v>230</v>
      </c>
      <c r="E22" t="s">
        <v>34</v>
      </c>
      <c r="F22" t="s">
        <v>231</v>
      </c>
      <c r="G22" t="s">
        <v>232</v>
      </c>
      <c r="H22" t="s">
        <v>34</v>
      </c>
      <c r="I22" s="7"/>
      <c r="J22" s="7"/>
      <c r="K22" s="7">
        <v>40000</v>
      </c>
      <c r="M22" t="s">
        <v>34</v>
      </c>
      <c r="N22" t="s">
        <v>34</v>
      </c>
      <c r="O22" t="s">
        <v>34</v>
      </c>
      <c r="P22" t="s">
        <v>34</v>
      </c>
      <c r="Q22" s="7"/>
      <c r="R22" s="7">
        <v>3000</v>
      </c>
    </row>
    <row r="23" spans="1:18" x14ac:dyDescent="0.25">
      <c r="A23" t="s">
        <v>233</v>
      </c>
      <c r="B23" s="6">
        <v>45777</v>
      </c>
      <c r="C23" t="s">
        <v>181</v>
      </c>
      <c r="D23" t="s">
        <v>234</v>
      </c>
      <c r="E23" t="s">
        <v>172</v>
      </c>
      <c r="F23" t="s">
        <v>235</v>
      </c>
      <c r="G23" t="s">
        <v>117</v>
      </c>
      <c r="H23" t="s">
        <v>34</v>
      </c>
      <c r="I23" s="7"/>
      <c r="J23" s="7"/>
      <c r="K23" s="7">
        <v>1000</v>
      </c>
      <c r="L23">
        <v>18</v>
      </c>
      <c r="M23" t="s">
        <v>34</v>
      </c>
      <c r="N23" t="s">
        <v>116</v>
      </c>
      <c r="O23" t="s">
        <v>35</v>
      </c>
      <c r="P23" t="s">
        <v>34</v>
      </c>
      <c r="Q23" s="7"/>
      <c r="R23" s="7"/>
    </row>
    <row r="24" spans="1:18" x14ac:dyDescent="0.25">
      <c r="A24" t="s">
        <v>236</v>
      </c>
      <c r="B24" s="6">
        <v>45779</v>
      </c>
      <c r="C24" t="s">
        <v>237</v>
      </c>
      <c r="D24" t="s">
        <v>238</v>
      </c>
      <c r="E24" t="s">
        <v>34</v>
      </c>
      <c r="F24" t="s">
        <v>239</v>
      </c>
      <c r="G24" t="s">
        <v>232</v>
      </c>
      <c r="H24" t="s">
        <v>34</v>
      </c>
      <c r="I24" s="7"/>
      <c r="J24" s="7"/>
      <c r="K24" s="7">
        <v>37000</v>
      </c>
      <c r="M24" t="s">
        <v>34</v>
      </c>
      <c r="N24" t="s">
        <v>34</v>
      </c>
      <c r="O24" t="s">
        <v>37</v>
      </c>
      <c r="P24" t="s">
        <v>34</v>
      </c>
      <c r="Q24" s="7"/>
      <c r="R24" s="7"/>
    </row>
    <row r="25" spans="1:18" x14ac:dyDescent="0.25">
      <c r="A25" t="s">
        <v>240</v>
      </c>
      <c r="B25" s="6">
        <v>45784</v>
      </c>
      <c r="C25" t="s">
        <v>237</v>
      </c>
      <c r="D25" t="s">
        <v>241</v>
      </c>
      <c r="E25" t="s">
        <v>34</v>
      </c>
      <c r="F25" t="s">
        <v>242</v>
      </c>
      <c r="G25" t="s">
        <v>232</v>
      </c>
      <c r="H25" t="s">
        <v>34</v>
      </c>
      <c r="I25" s="7"/>
      <c r="J25" s="7"/>
      <c r="K25" s="7">
        <v>3000</v>
      </c>
      <c r="M25" t="s">
        <v>34</v>
      </c>
      <c r="N25" t="s">
        <v>80</v>
      </c>
      <c r="O25" t="s">
        <v>35</v>
      </c>
      <c r="P25" t="s">
        <v>34</v>
      </c>
      <c r="Q25" s="7"/>
      <c r="R25" s="7"/>
    </row>
    <row r="26" spans="1:18" x14ac:dyDescent="0.25">
      <c r="A26" t="s">
        <v>243</v>
      </c>
      <c r="B26" s="6">
        <v>45787</v>
      </c>
      <c r="C26" t="s">
        <v>244</v>
      </c>
      <c r="D26" t="s">
        <v>245</v>
      </c>
      <c r="E26" t="s">
        <v>212</v>
      </c>
      <c r="F26" t="s">
        <v>246</v>
      </c>
      <c r="G26" t="s">
        <v>98</v>
      </c>
      <c r="H26" t="s">
        <v>34</v>
      </c>
      <c r="I26" s="7"/>
      <c r="J26" s="7"/>
      <c r="K26" s="7">
        <v>40000</v>
      </c>
      <c r="L26">
        <v>18</v>
      </c>
      <c r="M26" t="s">
        <v>34</v>
      </c>
      <c r="N26" t="s">
        <v>34</v>
      </c>
      <c r="O26" t="s">
        <v>37</v>
      </c>
      <c r="P26" t="s">
        <v>34</v>
      </c>
      <c r="Q26" s="7"/>
      <c r="R26" s="7"/>
    </row>
    <row r="27" spans="1:18" x14ac:dyDescent="0.25">
      <c r="A27" t="s">
        <v>247</v>
      </c>
      <c r="B27" s="6">
        <v>45792</v>
      </c>
      <c r="C27" t="s">
        <v>248</v>
      </c>
      <c r="D27" t="s">
        <v>249</v>
      </c>
      <c r="E27" t="s">
        <v>212</v>
      </c>
      <c r="F27" t="s">
        <v>250</v>
      </c>
      <c r="G27" t="s">
        <v>251</v>
      </c>
      <c r="H27" t="s">
        <v>34</v>
      </c>
      <c r="I27" s="7"/>
      <c r="J27" s="7"/>
      <c r="K27" s="7">
        <v>40000</v>
      </c>
      <c r="M27" t="s">
        <v>34</v>
      </c>
      <c r="N27" t="s">
        <v>34</v>
      </c>
      <c r="O27" t="s">
        <v>35</v>
      </c>
      <c r="P27" t="s">
        <v>34</v>
      </c>
      <c r="Q27" s="7"/>
      <c r="R27" s="7"/>
    </row>
    <row r="28" spans="1:18" x14ac:dyDescent="0.25">
      <c r="A28" t="s">
        <v>252</v>
      </c>
      <c r="B28" s="6">
        <v>45797</v>
      </c>
      <c r="C28" t="s">
        <v>253</v>
      </c>
      <c r="D28" t="s">
        <v>254</v>
      </c>
      <c r="E28" t="s">
        <v>195</v>
      </c>
      <c r="F28" t="s">
        <v>255</v>
      </c>
      <c r="G28" t="s">
        <v>256</v>
      </c>
      <c r="H28" t="s">
        <v>34</v>
      </c>
      <c r="I28" s="7"/>
      <c r="J28" s="7"/>
      <c r="K28" s="7">
        <v>200000</v>
      </c>
      <c r="M28" t="s">
        <v>34</v>
      </c>
      <c r="N28" t="s">
        <v>34</v>
      </c>
      <c r="O28" t="s">
        <v>35</v>
      </c>
      <c r="P28" t="s">
        <v>34</v>
      </c>
      <c r="Q28" s="7"/>
      <c r="R28" s="7"/>
    </row>
    <row r="29" spans="1:18" x14ac:dyDescent="0.25">
      <c r="A29" t="s">
        <v>257</v>
      </c>
      <c r="B29" s="6">
        <v>45799</v>
      </c>
      <c r="C29" t="s">
        <v>205</v>
      </c>
      <c r="D29" t="s">
        <v>258</v>
      </c>
      <c r="E29" t="s">
        <v>259</v>
      </c>
      <c r="F29" t="s">
        <v>260</v>
      </c>
      <c r="G29" t="s">
        <v>209</v>
      </c>
      <c r="H29" t="s">
        <v>192</v>
      </c>
      <c r="I29" s="7">
        <v>150</v>
      </c>
      <c r="J29" s="7">
        <v>490</v>
      </c>
      <c r="K29" s="7"/>
      <c r="L29">
        <v>18</v>
      </c>
      <c r="M29" t="s">
        <v>34</v>
      </c>
      <c r="N29" t="s">
        <v>34</v>
      </c>
      <c r="O29" t="s">
        <v>198</v>
      </c>
      <c r="P29" t="s">
        <v>34</v>
      </c>
      <c r="Q29" s="7"/>
      <c r="R29" s="7"/>
    </row>
    <row r="30" spans="1:18" x14ac:dyDescent="0.25">
      <c r="A30" t="s">
        <v>261</v>
      </c>
      <c r="B30" s="6">
        <v>45802</v>
      </c>
      <c r="C30" t="s">
        <v>205</v>
      </c>
      <c r="D30" t="s">
        <v>262</v>
      </c>
      <c r="E30" t="s">
        <v>207</v>
      </c>
      <c r="F30" t="s">
        <v>263</v>
      </c>
      <c r="G30" t="s">
        <v>209</v>
      </c>
      <c r="H30" t="s">
        <v>197</v>
      </c>
      <c r="I30" s="7">
        <v>80</v>
      </c>
      <c r="J30" s="7">
        <v>1650</v>
      </c>
      <c r="K30" s="7"/>
      <c r="L30">
        <v>12</v>
      </c>
      <c r="M30" t="s">
        <v>34</v>
      </c>
      <c r="N30" t="s">
        <v>34</v>
      </c>
      <c r="O30" t="s">
        <v>37</v>
      </c>
      <c r="P30" t="s">
        <v>34</v>
      </c>
      <c r="Q30" s="7"/>
      <c r="R30" s="7"/>
    </row>
    <row r="31" spans="1:18" x14ac:dyDescent="0.25">
      <c r="A31" t="s">
        <v>264</v>
      </c>
      <c r="B31" s="6">
        <v>45808</v>
      </c>
      <c r="C31" t="s">
        <v>229</v>
      </c>
      <c r="D31" t="s">
        <v>265</v>
      </c>
      <c r="E31" t="s">
        <v>34</v>
      </c>
      <c r="F31" t="s">
        <v>266</v>
      </c>
      <c r="G31" t="s">
        <v>232</v>
      </c>
      <c r="H31" t="s">
        <v>34</v>
      </c>
      <c r="I31" s="7"/>
      <c r="J31" s="7"/>
      <c r="K31" s="7">
        <v>40000</v>
      </c>
      <c r="M31" t="s">
        <v>34</v>
      </c>
      <c r="N31" t="s">
        <v>34</v>
      </c>
      <c r="O31" t="s">
        <v>34</v>
      </c>
      <c r="P31" t="s">
        <v>34</v>
      </c>
      <c r="Q31" s="7"/>
      <c r="R31" s="7">
        <v>3000</v>
      </c>
    </row>
    <row r="32" spans="1:18" x14ac:dyDescent="0.25">
      <c r="A32" t="s">
        <v>267</v>
      </c>
      <c r="B32" s="6">
        <v>45808</v>
      </c>
      <c r="C32" t="s">
        <v>181</v>
      </c>
      <c r="D32" t="s">
        <v>268</v>
      </c>
      <c r="E32" t="s">
        <v>172</v>
      </c>
      <c r="F32" t="s">
        <v>269</v>
      </c>
      <c r="G32" t="s">
        <v>117</v>
      </c>
      <c r="H32" t="s">
        <v>34</v>
      </c>
      <c r="I32" s="7"/>
      <c r="J32" s="7"/>
      <c r="K32" s="7">
        <v>1000</v>
      </c>
      <c r="L32">
        <v>18</v>
      </c>
      <c r="M32" t="s">
        <v>34</v>
      </c>
      <c r="N32" t="s">
        <v>116</v>
      </c>
      <c r="O32" t="s">
        <v>35</v>
      </c>
      <c r="P32" t="s">
        <v>34</v>
      </c>
      <c r="Q32" s="7"/>
      <c r="R32" s="7"/>
    </row>
    <row r="33" spans="1:18" x14ac:dyDescent="0.25">
      <c r="A33" t="s">
        <v>270</v>
      </c>
      <c r="B33" s="6">
        <v>45810</v>
      </c>
      <c r="C33" t="s">
        <v>237</v>
      </c>
      <c r="D33" t="s">
        <v>271</v>
      </c>
      <c r="E33" t="s">
        <v>34</v>
      </c>
      <c r="F33" t="s">
        <v>272</v>
      </c>
      <c r="G33" t="s">
        <v>232</v>
      </c>
      <c r="H33" t="s">
        <v>34</v>
      </c>
      <c r="I33" s="7"/>
      <c r="J33" s="7"/>
      <c r="K33" s="7">
        <v>37000</v>
      </c>
      <c r="M33" t="s">
        <v>34</v>
      </c>
      <c r="N33" t="s">
        <v>34</v>
      </c>
      <c r="O33" t="s">
        <v>37</v>
      </c>
      <c r="P33" t="s">
        <v>34</v>
      </c>
      <c r="Q33" s="7"/>
      <c r="R33" s="7"/>
    </row>
    <row r="34" spans="1:18" x14ac:dyDescent="0.25">
      <c r="A34" t="s">
        <v>273</v>
      </c>
      <c r="B34" s="6">
        <v>45815</v>
      </c>
      <c r="C34" t="s">
        <v>237</v>
      </c>
      <c r="D34" t="s">
        <v>274</v>
      </c>
      <c r="E34" t="s">
        <v>34</v>
      </c>
      <c r="F34" t="s">
        <v>275</v>
      </c>
      <c r="G34" t="s">
        <v>232</v>
      </c>
      <c r="H34" t="s">
        <v>34</v>
      </c>
      <c r="I34" s="7"/>
      <c r="J34" s="7"/>
      <c r="K34" s="7">
        <v>3000</v>
      </c>
      <c r="M34" t="s">
        <v>34</v>
      </c>
      <c r="N34" t="s">
        <v>80</v>
      </c>
      <c r="O34" t="s">
        <v>35</v>
      </c>
      <c r="P34" t="s">
        <v>34</v>
      </c>
      <c r="Q34" s="7"/>
      <c r="R34" s="7"/>
    </row>
    <row r="35" spans="1:18" x14ac:dyDescent="0.25">
      <c r="A35" t="s">
        <v>276</v>
      </c>
      <c r="B35" s="6">
        <v>45818</v>
      </c>
      <c r="C35" t="s">
        <v>187</v>
      </c>
      <c r="D35" t="s">
        <v>277</v>
      </c>
      <c r="E35" t="s">
        <v>189</v>
      </c>
      <c r="F35" t="s">
        <v>278</v>
      </c>
      <c r="G35" t="s">
        <v>191</v>
      </c>
      <c r="H35" t="s">
        <v>192</v>
      </c>
      <c r="I35" s="7">
        <v>500</v>
      </c>
      <c r="J35" s="7">
        <v>290</v>
      </c>
      <c r="K35" s="7"/>
      <c r="L35">
        <v>18</v>
      </c>
      <c r="M35" t="s">
        <v>34</v>
      </c>
      <c r="N35" t="s">
        <v>34</v>
      </c>
      <c r="O35" t="s">
        <v>198</v>
      </c>
      <c r="P35" t="s">
        <v>34</v>
      </c>
      <c r="Q35" s="7"/>
      <c r="R35" s="7"/>
    </row>
    <row r="36" spans="1:18" x14ac:dyDescent="0.25">
      <c r="A36" t="s">
        <v>279</v>
      </c>
      <c r="B36" s="6">
        <v>45820</v>
      </c>
      <c r="C36" t="s">
        <v>280</v>
      </c>
      <c r="D36" t="s">
        <v>281</v>
      </c>
      <c r="E36" t="s">
        <v>282</v>
      </c>
      <c r="F36" t="s">
        <v>283</v>
      </c>
      <c r="G36" t="s">
        <v>53</v>
      </c>
      <c r="H36" t="s">
        <v>34</v>
      </c>
      <c r="I36" s="7"/>
      <c r="J36" s="7"/>
      <c r="K36" s="7">
        <v>150000</v>
      </c>
      <c r="M36" t="s">
        <v>34</v>
      </c>
      <c r="N36" t="s">
        <v>34</v>
      </c>
      <c r="O36" t="s">
        <v>35</v>
      </c>
      <c r="P36" t="s">
        <v>34</v>
      </c>
      <c r="Q36" s="7"/>
      <c r="R36" s="7"/>
    </row>
    <row r="37" spans="1:18" x14ac:dyDescent="0.25">
      <c r="A37" t="s">
        <v>284</v>
      </c>
      <c r="B37" s="6">
        <v>45828</v>
      </c>
      <c r="C37" t="s">
        <v>181</v>
      </c>
      <c r="D37" t="s">
        <v>285</v>
      </c>
      <c r="E37" t="s">
        <v>219</v>
      </c>
      <c r="F37" t="s">
        <v>286</v>
      </c>
      <c r="G37" t="s">
        <v>221</v>
      </c>
      <c r="H37" t="s">
        <v>34</v>
      </c>
      <c r="I37" s="7"/>
      <c r="J37" s="7"/>
      <c r="K37" s="7">
        <v>17000</v>
      </c>
      <c r="M37" t="s">
        <v>222</v>
      </c>
      <c r="N37" t="s">
        <v>110</v>
      </c>
      <c r="O37" t="s">
        <v>35</v>
      </c>
      <c r="P37" t="s">
        <v>34</v>
      </c>
      <c r="Q37" s="7"/>
      <c r="R37" s="7"/>
    </row>
    <row r="38" spans="1:18" x14ac:dyDescent="0.25">
      <c r="A38" t="s">
        <v>287</v>
      </c>
      <c r="B38" s="6">
        <v>45836</v>
      </c>
      <c r="C38" t="s">
        <v>288</v>
      </c>
      <c r="D38" t="s">
        <v>289</v>
      </c>
      <c r="E38" t="s">
        <v>183</v>
      </c>
      <c r="F38" t="s">
        <v>290</v>
      </c>
      <c r="G38" t="s">
        <v>47</v>
      </c>
      <c r="H38" t="s">
        <v>34</v>
      </c>
      <c r="I38" s="7"/>
      <c r="J38" s="7"/>
      <c r="K38" s="7">
        <v>264000</v>
      </c>
      <c r="L38">
        <v>18</v>
      </c>
      <c r="M38" t="s">
        <v>34</v>
      </c>
      <c r="N38" t="s">
        <v>34</v>
      </c>
      <c r="O38" t="s">
        <v>35</v>
      </c>
      <c r="P38" t="s">
        <v>34</v>
      </c>
      <c r="Q38" s="7"/>
      <c r="R38" s="7"/>
    </row>
    <row r="39" spans="1:18" x14ac:dyDescent="0.25">
      <c r="A39" t="s">
        <v>291</v>
      </c>
      <c r="B39" s="6">
        <v>45837</v>
      </c>
      <c r="C39" t="s">
        <v>205</v>
      </c>
      <c r="D39" t="s">
        <v>292</v>
      </c>
      <c r="E39" t="s">
        <v>207</v>
      </c>
      <c r="F39" t="s">
        <v>293</v>
      </c>
      <c r="G39" t="s">
        <v>209</v>
      </c>
      <c r="H39" t="s">
        <v>203</v>
      </c>
      <c r="I39" s="7">
        <v>30</v>
      </c>
      <c r="J39" s="7">
        <v>1250</v>
      </c>
      <c r="K39" s="7"/>
      <c r="L39">
        <v>18</v>
      </c>
      <c r="M39" t="s">
        <v>34</v>
      </c>
      <c r="N39" t="s">
        <v>34</v>
      </c>
      <c r="O39" t="s">
        <v>29</v>
      </c>
      <c r="P39" t="s">
        <v>34</v>
      </c>
      <c r="Q39" s="7"/>
      <c r="R39" s="7"/>
    </row>
    <row r="40" spans="1:18" x14ac:dyDescent="0.25">
      <c r="A40" t="s">
        <v>294</v>
      </c>
      <c r="B40" s="6">
        <v>45838</v>
      </c>
      <c r="C40" t="s">
        <v>248</v>
      </c>
      <c r="D40" t="s">
        <v>295</v>
      </c>
      <c r="E40" t="s">
        <v>259</v>
      </c>
      <c r="F40" t="s">
        <v>296</v>
      </c>
      <c r="G40" t="s">
        <v>251</v>
      </c>
      <c r="H40" t="s">
        <v>34</v>
      </c>
      <c r="I40" s="7"/>
      <c r="J40" s="7"/>
      <c r="K40" s="7">
        <v>86730</v>
      </c>
      <c r="M40" t="s">
        <v>34</v>
      </c>
      <c r="N40" t="s">
        <v>34</v>
      </c>
      <c r="O40" t="s">
        <v>37</v>
      </c>
      <c r="P40" t="s">
        <v>34</v>
      </c>
      <c r="Q40" s="7"/>
      <c r="R40" s="7"/>
    </row>
    <row r="41" spans="1:18" x14ac:dyDescent="0.25">
      <c r="A41" t="s">
        <v>297</v>
      </c>
      <c r="B41" s="6">
        <v>45838</v>
      </c>
      <c r="C41" t="s">
        <v>229</v>
      </c>
      <c r="D41" t="s">
        <v>298</v>
      </c>
      <c r="E41" t="s">
        <v>34</v>
      </c>
      <c r="F41" t="s">
        <v>299</v>
      </c>
      <c r="G41" t="s">
        <v>232</v>
      </c>
      <c r="H41" t="s">
        <v>34</v>
      </c>
      <c r="I41" s="7"/>
      <c r="J41" s="7"/>
      <c r="K41" s="7">
        <v>40000</v>
      </c>
      <c r="M41" t="s">
        <v>34</v>
      </c>
      <c r="N41" t="s">
        <v>34</v>
      </c>
      <c r="O41" t="s">
        <v>34</v>
      </c>
      <c r="P41" t="s">
        <v>34</v>
      </c>
      <c r="Q41" s="7"/>
      <c r="R41" s="7">
        <v>3000</v>
      </c>
    </row>
    <row r="42" spans="1:18" x14ac:dyDescent="0.25">
      <c r="A42" t="s">
        <v>300</v>
      </c>
      <c r="B42" s="6">
        <v>45838</v>
      </c>
      <c r="C42" t="s">
        <v>301</v>
      </c>
      <c r="D42" t="s">
        <v>302</v>
      </c>
      <c r="E42" t="s">
        <v>34</v>
      </c>
      <c r="F42" t="s">
        <v>303</v>
      </c>
      <c r="G42" t="s">
        <v>304</v>
      </c>
      <c r="H42" t="s">
        <v>34</v>
      </c>
      <c r="I42" s="7"/>
      <c r="J42" s="7"/>
      <c r="K42" s="7"/>
      <c r="M42" t="s">
        <v>34</v>
      </c>
      <c r="N42" t="s">
        <v>34</v>
      </c>
      <c r="O42" t="s">
        <v>34</v>
      </c>
      <c r="P42" t="s">
        <v>34</v>
      </c>
      <c r="Q42" s="7"/>
      <c r="R42" s="7"/>
    </row>
    <row r="43" spans="1:18" x14ac:dyDescent="0.25">
      <c r="A43" t="s">
        <v>305</v>
      </c>
      <c r="B43" s="6">
        <v>45838</v>
      </c>
      <c r="C43" t="s">
        <v>306</v>
      </c>
      <c r="D43" t="s">
        <v>307</v>
      </c>
      <c r="E43" t="s">
        <v>172</v>
      </c>
      <c r="F43" t="s">
        <v>308</v>
      </c>
      <c r="G43" t="s">
        <v>100</v>
      </c>
      <c r="H43" t="s">
        <v>34</v>
      </c>
      <c r="I43" s="7"/>
      <c r="J43" s="7"/>
      <c r="K43" s="7">
        <v>3100</v>
      </c>
      <c r="M43" t="s">
        <v>34</v>
      </c>
      <c r="N43" t="s">
        <v>34</v>
      </c>
      <c r="O43" t="s">
        <v>35</v>
      </c>
      <c r="P43" t="s">
        <v>34</v>
      </c>
      <c r="Q43" s="7"/>
      <c r="R43" s="7"/>
    </row>
    <row r="44" spans="1:18" x14ac:dyDescent="0.25">
      <c r="A44" t="s">
        <v>309</v>
      </c>
      <c r="B44" s="6">
        <v>45840</v>
      </c>
      <c r="C44" t="s">
        <v>237</v>
      </c>
      <c r="D44" t="s">
        <v>310</v>
      </c>
      <c r="E44" t="s">
        <v>34</v>
      </c>
      <c r="F44" t="s">
        <v>311</v>
      </c>
      <c r="G44" t="s">
        <v>232</v>
      </c>
      <c r="H44" t="s">
        <v>34</v>
      </c>
      <c r="I44" s="7"/>
      <c r="J44" s="7"/>
      <c r="K44" s="7">
        <v>37000</v>
      </c>
      <c r="M44" t="s">
        <v>34</v>
      </c>
      <c r="N44" t="s">
        <v>34</v>
      </c>
      <c r="O44" t="s">
        <v>37</v>
      </c>
      <c r="P44" t="s">
        <v>34</v>
      </c>
      <c r="Q44" s="7"/>
      <c r="R44" s="7"/>
    </row>
    <row r="45" spans="1:18" x14ac:dyDescent="0.25">
      <c r="A45" t="s">
        <v>312</v>
      </c>
      <c r="B45" s="6">
        <v>45848</v>
      </c>
      <c r="C45" t="s">
        <v>205</v>
      </c>
      <c r="D45" t="s">
        <v>313</v>
      </c>
      <c r="E45" t="s">
        <v>212</v>
      </c>
      <c r="F45" t="s">
        <v>314</v>
      </c>
      <c r="G45" t="s">
        <v>209</v>
      </c>
      <c r="H45" t="s">
        <v>203</v>
      </c>
      <c r="I45" s="7">
        <v>100</v>
      </c>
      <c r="J45" s="7">
        <v>1250</v>
      </c>
      <c r="K45" s="7"/>
      <c r="L45">
        <v>18</v>
      </c>
      <c r="M45" t="s">
        <v>34</v>
      </c>
      <c r="N45" t="s">
        <v>34</v>
      </c>
      <c r="O45" t="s">
        <v>198</v>
      </c>
      <c r="P45" t="s">
        <v>34</v>
      </c>
      <c r="Q45" s="7"/>
      <c r="R45" s="7"/>
    </row>
    <row r="46" spans="1:18" x14ac:dyDescent="0.25">
      <c r="A46" t="s">
        <v>315</v>
      </c>
      <c r="B46" s="6">
        <v>45853</v>
      </c>
      <c r="C46" t="s">
        <v>181</v>
      </c>
      <c r="D46" t="s">
        <v>316</v>
      </c>
      <c r="E46" t="s">
        <v>225</v>
      </c>
      <c r="F46" t="s">
        <v>317</v>
      </c>
      <c r="G46" t="s">
        <v>227</v>
      </c>
      <c r="H46" t="s">
        <v>34</v>
      </c>
      <c r="I46" s="7"/>
      <c r="J46" s="7"/>
      <c r="K46" s="7">
        <v>40000</v>
      </c>
      <c r="L46">
        <v>18</v>
      </c>
      <c r="M46" t="s">
        <v>34</v>
      </c>
      <c r="N46" t="s">
        <v>112</v>
      </c>
      <c r="O46" t="s">
        <v>37</v>
      </c>
      <c r="P46" t="s">
        <v>34</v>
      </c>
      <c r="Q46" s="7"/>
      <c r="R46" s="7"/>
    </row>
    <row r="47" spans="1:18" x14ac:dyDescent="0.25">
      <c r="A47" t="s">
        <v>318</v>
      </c>
      <c r="B47" s="6">
        <v>45858</v>
      </c>
      <c r="C47" t="s">
        <v>319</v>
      </c>
      <c r="D47" t="s">
        <v>320</v>
      </c>
      <c r="E47" t="s">
        <v>34</v>
      </c>
      <c r="F47" t="s">
        <v>321</v>
      </c>
      <c r="G47" t="s">
        <v>322</v>
      </c>
      <c r="H47" t="s">
        <v>34</v>
      </c>
      <c r="I47" s="7"/>
      <c r="J47" s="7"/>
      <c r="K47" s="7"/>
      <c r="M47" t="s">
        <v>34</v>
      </c>
      <c r="N47" t="s">
        <v>34</v>
      </c>
      <c r="O47" t="s">
        <v>35</v>
      </c>
      <c r="P47" t="s">
        <v>34</v>
      </c>
      <c r="Q47" s="7"/>
      <c r="R47" s="7"/>
    </row>
    <row r="48" spans="1:18" x14ac:dyDescent="0.25">
      <c r="A48" t="s">
        <v>323</v>
      </c>
      <c r="B48" s="6">
        <v>45863</v>
      </c>
      <c r="C48" t="s">
        <v>253</v>
      </c>
      <c r="D48" t="s">
        <v>324</v>
      </c>
      <c r="E48" t="s">
        <v>189</v>
      </c>
      <c r="F48" t="s">
        <v>325</v>
      </c>
      <c r="G48" t="s">
        <v>256</v>
      </c>
      <c r="H48" t="s">
        <v>34</v>
      </c>
      <c r="I48" s="7"/>
      <c r="J48" s="7"/>
      <c r="K48" s="7">
        <v>171100</v>
      </c>
      <c r="M48" t="s">
        <v>34</v>
      </c>
      <c r="N48" t="s">
        <v>34</v>
      </c>
      <c r="O48" t="s">
        <v>35</v>
      </c>
      <c r="P48" t="s">
        <v>34</v>
      </c>
      <c r="Q48" s="7"/>
      <c r="R48" s="7"/>
    </row>
    <row r="49" spans="1:18" x14ac:dyDescent="0.25">
      <c r="A49" t="s">
        <v>326</v>
      </c>
      <c r="B49" s="6">
        <v>45869</v>
      </c>
      <c r="C49" t="s">
        <v>205</v>
      </c>
      <c r="D49" t="s">
        <v>327</v>
      </c>
      <c r="E49" t="s">
        <v>207</v>
      </c>
      <c r="F49" t="s">
        <v>328</v>
      </c>
      <c r="G49" t="s">
        <v>209</v>
      </c>
      <c r="H49" t="s">
        <v>192</v>
      </c>
      <c r="I49" s="7">
        <v>200</v>
      </c>
      <c r="J49" s="7">
        <v>490</v>
      </c>
      <c r="K49" s="7"/>
      <c r="L49">
        <v>18</v>
      </c>
      <c r="M49" t="s">
        <v>34</v>
      </c>
      <c r="N49" t="s">
        <v>34</v>
      </c>
      <c r="O49" t="s">
        <v>35</v>
      </c>
      <c r="P49" t="s">
        <v>34</v>
      </c>
      <c r="Q49" s="7"/>
      <c r="R49" s="7"/>
    </row>
    <row r="50" spans="1:18" x14ac:dyDescent="0.25">
      <c r="A50" t="s">
        <v>329</v>
      </c>
      <c r="B50" s="6">
        <v>45869</v>
      </c>
      <c r="C50" t="s">
        <v>229</v>
      </c>
      <c r="D50" t="s">
        <v>330</v>
      </c>
      <c r="E50" t="s">
        <v>34</v>
      </c>
      <c r="F50" t="s">
        <v>331</v>
      </c>
      <c r="G50" t="s">
        <v>232</v>
      </c>
      <c r="H50" t="s">
        <v>34</v>
      </c>
      <c r="I50" s="7"/>
      <c r="J50" s="7"/>
      <c r="K50" s="7">
        <v>40000</v>
      </c>
      <c r="M50" t="s">
        <v>34</v>
      </c>
      <c r="N50" t="s">
        <v>34</v>
      </c>
      <c r="O50" t="s">
        <v>34</v>
      </c>
      <c r="P50" t="s">
        <v>34</v>
      </c>
      <c r="Q50" s="7"/>
      <c r="R50" s="7">
        <v>3000</v>
      </c>
    </row>
    <row r="51" spans="1:18" x14ac:dyDescent="0.25">
      <c r="A51" t="s">
        <v>332</v>
      </c>
      <c r="B51" s="6">
        <v>45871</v>
      </c>
      <c r="C51" t="s">
        <v>237</v>
      </c>
      <c r="D51" t="s">
        <v>333</v>
      </c>
      <c r="E51" t="s">
        <v>34</v>
      </c>
      <c r="F51" t="s">
        <v>334</v>
      </c>
      <c r="G51" t="s">
        <v>232</v>
      </c>
      <c r="H51" t="s">
        <v>34</v>
      </c>
      <c r="I51" s="7"/>
      <c r="J51" s="7"/>
      <c r="K51" s="7">
        <v>37000</v>
      </c>
      <c r="M51" t="s">
        <v>34</v>
      </c>
      <c r="N51" t="s">
        <v>34</v>
      </c>
      <c r="O51" t="s">
        <v>37</v>
      </c>
      <c r="P51" t="s">
        <v>34</v>
      </c>
      <c r="Q51" s="7"/>
      <c r="R51" s="7"/>
    </row>
    <row r="52" spans="1:18" x14ac:dyDescent="0.25">
      <c r="A52" t="s">
        <v>335</v>
      </c>
      <c r="B52" s="6">
        <v>45874</v>
      </c>
      <c r="C52" t="s">
        <v>253</v>
      </c>
      <c r="D52" t="s">
        <v>336</v>
      </c>
      <c r="E52" t="s">
        <v>195</v>
      </c>
      <c r="F52" t="s">
        <v>337</v>
      </c>
      <c r="G52" t="s">
        <v>256</v>
      </c>
      <c r="H52" t="s">
        <v>34</v>
      </c>
      <c r="I52" s="7"/>
      <c r="J52" s="7"/>
      <c r="K52" s="7">
        <v>203200</v>
      </c>
      <c r="M52" t="s">
        <v>34</v>
      </c>
      <c r="N52" t="s">
        <v>34</v>
      </c>
      <c r="O52" t="s">
        <v>35</v>
      </c>
      <c r="P52" t="s">
        <v>34</v>
      </c>
      <c r="Q52" s="7"/>
      <c r="R52" s="7"/>
    </row>
    <row r="53" spans="1:18" x14ac:dyDescent="0.25">
      <c r="A53" t="s">
        <v>338</v>
      </c>
      <c r="B53" s="6">
        <v>45881</v>
      </c>
      <c r="C53" t="s">
        <v>205</v>
      </c>
      <c r="D53" t="s">
        <v>339</v>
      </c>
      <c r="E53" t="s">
        <v>207</v>
      </c>
      <c r="F53" t="s">
        <v>340</v>
      </c>
      <c r="G53" t="s">
        <v>209</v>
      </c>
      <c r="H53" t="s">
        <v>197</v>
      </c>
      <c r="I53" s="7">
        <v>100</v>
      </c>
      <c r="J53" s="7">
        <v>1650</v>
      </c>
      <c r="K53" s="7"/>
      <c r="L53">
        <v>12</v>
      </c>
      <c r="M53" t="s">
        <v>34</v>
      </c>
      <c r="N53" t="s">
        <v>34</v>
      </c>
      <c r="O53" t="s">
        <v>37</v>
      </c>
      <c r="P53" t="s">
        <v>34</v>
      </c>
      <c r="Q53" s="7"/>
      <c r="R53" s="7"/>
    </row>
    <row r="54" spans="1:18" x14ac:dyDescent="0.25">
      <c r="A54" t="s">
        <v>341</v>
      </c>
      <c r="B54" s="6">
        <v>45887</v>
      </c>
      <c r="C54" t="s">
        <v>248</v>
      </c>
      <c r="D54" t="s">
        <v>342</v>
      </c>
      <c r="E54" t="s">
        <v>212</v>
      </c>
      <c r="F54" t="s">
        <v>343</v>
      </c>
      <c r="G54" t="s">
        <v>251</v>
      </c>
      <c r="H54" t="s">
        <v>34</v>
      </c>
      <c r="I54" s="7"/>
      <c r="J54" s="7"/>
      <c r="K54" s="7">
        <v>100000</v>
      </c>
      <c r="M54" t="s">
        <v>34</v>
      </c>
      <c r="N54" t="s">
        <v>34</v>
      </c>
      <c r="O54" t="s">
        <v>35</v>
      </c>
      <c r="P54" t="s">
        <v>34</v>
      </c>
      <c r="Q54" s="7"/>
      <c r="R54" s="7"/>
    </row>
    <row r="55" spans="1:18" x14ac:dyDescent="0.25">
      <c r="A55" t="s">
        <v>344</v>
      </c>
      <c r="B55" s="6">
        <v>45889</v>
      </c>
      <c r="C55" t="s">
        <v>181</v>
      </c>
      <c r="D55" t="s">
        <v>345</v>
      </c>
      <c r="E55" t="s">
        <v>346</v>
      </c>
      <c r="F55" t="s">
        <v>347</v>
      </c>
      <c r="G55" t="s">
        <v>348</v>
      </c>
      <c r="H55" t="s">
        <v>34</v>
      </c>
      <c r="I55" s="7"/>
      <c r="J55" s="7"/>
      <c r="K55" s="7">
        <v>12000</v>
      </c>
      <c r="L55">
        <v>18</v>
      </c>
      <c r="M55" t="s">
        <v>34</v>
      </c>
      <c r="N55" t="s">
        <v>121</v>
      </c>
      <c r="O55" t="s">
        <v>35</v>
      </c>
      <c r="P55" t="s">
        <v>34</v>
      </c>
      <c r="Q55" s="7"/>
      <c r="R55" s="7"/>
    </row>
    <row r="56" spans="1:18" x14ac:dyDescent="0.25">
      <c r="A56" t="s">
        <v>349</v>
      </c>
      <c r="B56" s="6">
        <v>45900</v>
      </c>
      <c r="C56" t="s">
        <v>229</v>
      </c>
      <c r="D56" t="s">
        <v>350</v>
      </c>
      <c r="E56" t="s">
        <v>34</v>
      </c>
      <c r="F56" t="s">
        <v>351</v>
      </c>
      <c r="G56" t="s">
        <v>232</v>
      </c>
      <c r="H56" t="s">
        <v>34</v>
      </c>
      <c r="I56" s="7"/>
      <c r="J56" s="7"/>
      <c r="K56" s="7">
        <v>40000</v>
      </c>
      <c r="M56" t="s">
        <v>34</v>
      </c>
      <c r="N56" t="s">
        <v>34</v>
      </c>
      <c r="O56" t="s">
        <v>34</v>
      </c>
      <c r="P56" t="s">
        <v>34</v>
      </c>
      <c r="Q56" s="7"/>
      <c r="R56" s="7">
        <v>3000</v>
      </c>
    </row>
    <row r="57" spans="1:18" x14ac:dyDescent="0.25">
      <c r="A57" t="s">
        <v>352</v>
      </c>
      <c r="B57" s="6">
        <v>45902</v>
      </c>
      <c r="C57" t="s">
        <v>237</v>
      </c>
      <c r="D57" t="s">
        <v>353</v>
      </c>
      <c r="E57" t="s">
        <v>34</v>
      </c>
      <c r="F57" t="s">
        <v>354</v>
      </c>
      <c r="G57" t="s">
        <v>232</v>
      </c>
      <c r="H57" t="s">
        <v>34</v>
      </c>
      <c r="I57" s="7"/>
      <c r="J57" s="7"/>
      <c r="K57" s="7">
        <v>37000</v>
      </c>
      <c r="M57" t="s">
        <v>34</v>
      </c>
      <c r="N57" t="s">
        <v>34</v>
      </c>
      <c r="O57" t="s">
        <v>37</v>
      </c>
      <c r="P57" t="s">
        <v>34</v>
      </c>
      <c r="Q57" s="7"/>
      <c r="R57" s="7"/>
    </row>
    <row r="58" spans="1:18" x14ac:dyDescent="0.25">
      <c r="A58" t="s">
        <v>355</v>
      </c>
      <c r="B58" s="6">
        <v>45910</v>
      </c>
      <c r="C58" t="s">
        <v>187</v>
      </c>
      <c r="D58" t="s">
        <v>356</v>
      </c>
      <c r="E58" t="s">
        <v>195</v>
      </c>
      <c r="F58" t="s">
        <v>357</v>
      </c>
      <c r="G58" t="s">
        <v>191</v>
      </c>
      <c r="H58" t="s">
        <v>197</v>
      </c>
      <c r="I58" s="7">
        <v>300</v>
      </c>
      <c r="J58" s="7">
        <v>920</v>
      </c>
      <c r="K58" s="7"/>
      <c r="L58">
        <v>12</v>
      </c>
      <c r="M58" t="s">
        <v>34</v>
      </c>
      <c r="N58" t="s">
        <v>34</v>
      </c>
      <c r="O58" t="s">
        <v>35</v>
      </c>
      <c r="P58" t="s">
        <v>34</v>
      </c>
      <c r="Q58" s="7"/>
      <c r="R58" s="7"/>
    </row>
    <row r="59" spans="1:18" x14ac:dyDescent="0.25">
      <c r="A59" t="s">
        <v>358</v>
      </c>
      <c r="B59" s="6">
        <v>45912</v>
      </c>
      <c r="C59" t="s">
        <v>142</v>
      </c>
      <c r="D59" t="s">
        <v>359</v>
      </c>
      <c r="E59" t="s">
        <v>34</v>
      </c>
      <c r="F59" t="s">
        <v>360</v>
      </c>
      <c r="G59" t="s">
        <v>145</v>
      </c>
      <c r="H59" t="s">
        <v>34</v>
      </c>
      <c r="I59" s="7"/>
      <c r="J59" s="7"/>
      <c r="K59" s="7">
        <v>500000</v>
      </c>
      <c r="M59" t="s">
        <v>34</v>
      </c>
      <c r="N59" t="s">
        <v>34</v>
      </c>
      <c r="O59" t="s">
        <v>35</v>
      </c>
      <c r="P59" t="s">
        <v>34</v>
      </c>
      <c r="Q59" s="7"/>
      <c r="R59" s="7"/>
    </row>
    <row r="60" spans="1:18" x14ac:dyDescent="0.25">
      <c r="A60" t="s">
        <v>361</v>
      </c>
      <c r="B60" s="6">
        <v>45915</v>
      </c>
      <c r="C60" t="s">
        <v>362</v>
      </c>
      <c r="D60" t="s">
        <v>363</v>
      </c>
      <c r="E60" t="s">
        <v>172</v>
      </c>
      <c r="F60" t="s">
        <v>364</v>
      </c>
      <c r="G60" t="s">
        <v>365</v>
      </c>
      <c r="H60" t="s">
        <v>34</v>
      </c>
      <c r="I60" s="7"/>
      <c r="J60" s="7"/>
      <c r="K60" s="7">
        <v>100000</v>
      </c>
      <c r="M60" t="s">
        <v>34</v>
      </c>
      <c r="N60" t="s">
        <v>34</v>
      </c>
      <c r="O60" t="s">
        <v>35</v>
      </c>
      <c r="P60" t="s">
        <v>34</v>
      </c>
      <c r="Q60" s="7">
        <v>39300</v>
      </c>
      <c r="R60" s="7"/>
    </row>
    <row r="61" spans="1:18" x14ac:dyDescent="0.25">
      <c r="A61" t="s">
        <v>366</v>
      </c>
      <c r="B61" s="6">
        <v>45920</v>
      </c>
      <c r="C61" t="s">
        <v>181</v>
      </c>
      <c r="D61" t="s">
        <v>367</v>
      </c>
      <c r="E61" t="s">
        <v>368</v>
      </c>
      <c r="F61" t="s">
        <v>369</v>
      </c>
      <c r="G61" t="s">
        <v>221</v>
      </c>
      <c r="H61" t="s">
        <v>34</v>
      </c>
      <c r="I61" s="7"/>
      <c r="J61" s="7"/>
      <c r="K61" s="7">
        <v>9000</v>
      </c>
      <c r="L61">
        <v>18</v>
      </c>
      <c r="M61" t="s">
        <v>34</v>
      </c>
      <c r="N61" t="s">
        <v>110</v>
      </c>
      <c r="O61" t="s">
        <v>37</v>
      </c>
      <c r="P61" t="s">
        <v>34</v>
      </c>
      <c r="Q61" s="7"/>
      <c r="R61" s="7"/>
    </row>
    <row r="62" spans="1:18" x14ac:dyDescent="0.25">
      <c r="A62" t="s">
        <v>370</v>
      </c>
      <c r="B62" s="6">
        <v>45930</v>
      </c>
      <c r="C62" t="s">
        <v>371</v>
      </c>
      <c r="D62" t="s">
        <v>372</v>
      </c>
      <c r="E62" t="s">
        <v>34</v>
      </c>
      <c r="F62" t="s">
        <v>373</v>
      </c>
      <c r="G62" t="s">
        <v>47</v>
      </c>
      <c r="H62" t="s">
        <v>34</v>
      </c>
      <c r="I62" s="7"/>
      <c r="J62" s="7"/>
      <c r="K62" s="7">
        <v>66000</v>
      </c>
      <c r="M62" t="s">
        <v>34</v>
      </c>
      <c r="N62" t="s">
        <v>34</v>
      </c>
      <c r="O62" t="s">
        <v>34</v>
      </c>
      <c r="P62" t="s">
        <v>34</v>
      </c>
      <c r="Q62" s="7"/>
      <c r="R62" s="7"/>
    </row>
    <row r="63" spans="1:18" x14ac:dyDescent="0.25">
      <c r="A63" t="s">
        <v>374</v>
      </c>
      <c r="B63" s="6">
        <v>45930</v>
      </c>
      <c r="C63" t="s">
        <v>301</v>
      </c>
      <c r="D63" t="s">
        <v>375</v>
      </c>
      <c r="E63" t="s">
        <v>34</v>
      </c>
      <c r="F63" t="s">
        <v>376</v>
      </c>
      <c r="G63" t="s">
        <v>304</v>
      </c>
      <c r="H63" t="s">
        <v>34</v>
      </c>
      <c r="I63" s="7"/>
      <c r="J63" s="7"/>
      <c r="K63" s="7"/>
      <c r="M63" t="s">
        <v>34</v>
      </c>
      <c r="N63" t="s">
        <v>34</v>
      </c>
      <c r="O63" t="s">
        <v>34</v>
      </c>
      <c r="P63" t="s">
        <v>34</v>
      </c>
      <c r="Q63" s="7"/>
      <c r="R63" s="7"/>
    </row>
    <row r="64" spans="1:18" x14ac:dyDescent="0.25">
      <c r="A64" t="s">
        <v>377</v>
      </c>
      <c r="B64" s="6">
        <v>45930</v>
      </c>
      <c r="C64" t="s">
        <v>229</v>
      </c>
      <c r="D64" t="s">
        <v>378</v>
      </c>
      <c r="E64" t="s">
        <v>34</v>
      </c>
      <c r="F64" t="s">
        <v>379</v>
      </c>
      <c r="G64" t="s">
        <v>232</v>
      </c>
      <c r="H64" t="s">
        <v>34</v>
      </c>
      <c r="I64" s="7"/>
      <c r="J64" s="7"/>
      <c r="K64" s="7">
        <v>40000</v>
      </c>
      <c r="M64" t="s">
        <v>34</v>
      </c>
      <c r="N64" t="s">
        <v>34</v>
      </c>
      <c r="O64" t="s">
        <v>34</v>
      </c>
      <c r="P64" t="s">
        <v>34</v>
      </c>
      <c r="Q64" s="7"/>
      <c r="R64" s="7">
        <v>3000</v>
      </c>
    </row>
    <row r="65" spans="1:18" x14ac:dyDescent="0.25">
      <c r="A65" t="s">
        <v>380</v>
      </c>
      <c r="B65" s="6">
        <v>45930</v>
      </c>
      <c r="C65" t="s">
        <v>306</v>
      </c>
      <c r="D65" t="s">
        <v>307</v>
      </c>
      <c r="E65" t="s">
        <v>172</v>
      </c>
      <c r="F65" t="s">
        <v>381</v>
      </c>
      <c r="G65" t="s">
        <v>100</v>
      </c>
      <c r="H65" t="s">
        <v>34</v>
      </c>
      <c r="I65" s="7"/>
      <c r="J65" s="7"/>
      <c r="K65" s="7">
        <v>3400</v>
      </c>
      <c r="M65" t="s">
        <v>34</v>
      </c>
      <c r="N65" t="s">
        <v>34</v>
      </c>
      <c r="O65" t="s">
        <v>35</v>
      </c>
      <c r="P65" t="s">
        <v>34</v>
      </c>
      <c r="Q65" s="7"/>
      <c r="R65" s="7"/>
    </row>
    <row r="66" spans="1:18" x14ac:dyDescent="0.25">
      <c r="A66" t="s">
        <v>382</v>
      </c>
      <c r="B66" s="6">
        <v>45931</v>
      </c>
      <c r="C66" t="s">
        <v>237</v>
      </c>
      <c r="D66" t="s">
        <v>383</v>
      </c>
      <c r="E66" t="s">
        <v>34</v>
      </c>
      <c r="F66" t="s">
        <v>384</v>
      </c>
      <c r="G66" t="s">
        <v>232</v>
      </c>
      <c r="H66" t="s">
        <v>34</v>
      </c>
      <c r="I66" s="7"/>
      <c r="J66" s="7"/>
      <c r="K66" s="7">
        <v>37000</v>
      </c>
      <c r="M66" t="s">
        <v>34</v>
      </c>
      <c r="N66" t="s">
        <v>34</v>
      </c>
      <c r="O66" t="s">
        <v>37</v>
      </c>
      <c r="P66" t="s">
        <v>34</v>
      </c>
      <c r="Q66" s="7"/>
      <c r="R66" s="7"/>
    </row>
    <row r="67" spans="1:18" x14ac:dyDescent="0.25">
      <c r="A67" t="s">
        <v>385</v>
      </c>
      <c r="B67" s="6">
        <v>45935</v>
      </c>
      <c r="C67" t="s">
        <v>187</v>
      </c>
      <c r="D67" t="s">
        <v>386</v>
      </c>
      <c r="E67" t="s">
        <v>189</v>
      </c>
      <c r="F67" t="s">
        <v>387</v>
      </c>
      <c r="G67" t="s">
        <v>191</v>
      </c>
      <c r="H67" t="s">
        <v>192</v>
      </c>
      <c r="I67" s="7">
        <v>800</v>
      </c>
      <c r="J67" s="7">
        <v>285</v>
      </c>
      <c r="K67" s="7"/>
      <c r="L67">
        <v>18</v>
      </c>
      <c r="M67" t="s">
        <v>34</v>
      </c>
      <c r="N67" t="s">
        <v>34</v>
      </c>
      <c r="O67" t="s">
        <v>198</v>
      </c>
      <c r="P67" t="s">
        <v>34</v>
      </c>
      <c r="Q67" s="7"/>
      <c r="R67" s="7"/>
    </row>
    <row r="68" spans="1:18" x14ac:dyDescent="0.25">
      <c r="A68" t="s">
        <v>388</v>
      </c>
      <c r="B68" s="6">
        <v>45936</v>
      </c>
      <c r="C68" t="s">
        <v>187</v>
      </c>
      <c r="D68" t="s">
        <v>389</v>
      </c>
      <c r="E68" t="s">
        <v>201</v>
      </c>
      <c r="F68" t="s">
        <v>390</v>
      </c>
      <c r="G68" t="s">
        <v>191</v>
      </c>
      <c r="H68" t="s">
        <v>203</v>
      </c>
      <c r="I68" s="7">
        <v>300</v>
      </c>
      <c r="J68" s="7">
        <v>660</v>
      </c>
      <c r="K68" s="7"/>
      <c r="L68">
        <v>18</v>
      </c>
      <c r="M68" t="s">
        <v>34</v>
      </c>
      <c r="N68" t="s">
        <v>34</v>
      </c>
      <c r="O68" t="s">
        <v>35</v>
      </c>
      <c r="P68" t="s">
        <v>34</v>
      </c>
      <c r="Q68" s="7"/>
      <c r="R68" s="7"/>
    </row>
    <row r="69" spans="1:18" x14ac:dyDescent="0.25">
      <c r="A69" t="s">
        <v>391</v>
      </c>
      <c r="B69" s="6">
        <v>45942</v>
      </c>
      <c r="C69" t="s">
        <v>181</v>
      </c>
      <c r="D69" t="s">
        <v>392</v>
      </c>
      <c r="E69" t="s">
        <v>225</v>
      </c>
      <c r="F69" t="s">
        <v>393</v>
      </c>
      <c r="G69" t="s">
        <v>227</v>
      </c>
      <c r="H69" t="s">
        <v>34</v>
      </c>
      <c r="I69" s="7"/>
      <c r="J69" s="7"/>
      <c r="K69" s="7">
        <v>60000</v>
      </c>
      <c r="L69">
        <v>18</v>
      </c>
      <c r="M69" t="s">
        <v>34</v>
      </c>
      <c r="N69" t="s">
        <v>112</v>
      </c>
      <c r="O69" t="s">
        <v>37</v>
      </c>
      <c r="P69" t="s">
        <v>34</v>
      </c>
      <c r="Q69" s="7"/>
      <c r="R69" s="7"/>
    </row>
    <row r="70" spans="1:18" x14ac:dyDescent="0.25">
      <c r="A70" t="s">
        <v>394</v>
      </c>
      <c r="B70" s="6">
        <v>45948</v>
      </c>
      <c r="C70" t="s">
        <v>205</v>
      </c>
      <c r="D70" t="s">
        <v>395</v>
      </c>
      <c r="E70" t="s">
        <v>207</v>
      </c>
      <c r="F70" t="s">
        <v>396</v>
      </c>
      <c r="G70" t="s">
        <v>209</v>
      </c>
      <c r="H70" t="s">
        <v>192</v>
      </c>
      <c r="I70" s="7">
        <v>1200</v>
      </c>
      <c r="J70" s="7">
        <v>500</v>
      </c>
      <c r="K70" s="7"/>
      <c r="L70">
        <v>18</v>
      </c>
      <c r="M70" t="s">
        <v>34</v>
      </c>
      <c r="N70" t="s">
        <v>34</v>
      </c>
      <c r="O70" t="s">
        <v>37</v>
      </c>
      <c r="P70" t="s">
        <v>34</v>
      </c>
      <c r="Q70" s="7"/>
      <c r="R70" s="7"/>
    </row>
    <row r="71" spans="1:18" x14ac:dyDescent="0.25">
      <c r="A71" t="s">
        <v>397</v>
      </c>
      <c r="B71" s="6">
        <v>45950</v>
      </c>
      <c r="C71" t="s">
        <v>205</v>
      </c>
      <c r="D71" t="s">
        <v>398</v>
      </c>
      <c r="E71" t="s">
        <v>399</v>
      </c>
      <c r="F71" t="s">
        <v>400</v>
      </c>
      <c r="G71" t="s">
        <v>209</v>
      </c>
      <c r="H71" t="s">
        <v>197</v>
      </c>
      <c r="I71" s="7">
        <v>200</v>
      </c>
      <c r="J71" s="7">
        <v>1700</v>
      </c>
      <c r="K71" s="7"/>
      <c r="L71">
        <v>12</v>
      </c>
      <c r="M71" t="s">
        <v>34</v>
      </c>
      <c r="N71" t="s">
        <v>34</v>
      </c>
      <c r="O71" t="s">
        <v>198</v>
      </c>
      <c r="P71" t="s">
        <v>34</v>
      </c>
      <c r="Q71" s="7"/>
      <c r="R71" s="7"/>
    </row>
    <row r="72" spans="1:18" x14ac:dyDescent="0.25">
      <c r="A72" t="s">
        <v>401</v>
      </c>
      <c r="B72" s="6">
        <v>45952</v>
      </c>
      <c r="C72" t="s">
        <v>205</v>
      </c>
      <c r="D72" t="s">
        <v>402</v>
      </c>
      <c r="E72" t="s">
        <v>207</v>
      </c>
      <c r="F72" t="s">
        <v>403</v>
      </c>
      <c r="G72" t="s">
        <v>209</v>
      </c>
      <c r="H72" t="s">
        <v>203</v>
      </c>
      <c r="I72" s="7">
        <v>450</v>
      </c>
      <c r="J72" s="7">
        <v>1300</v>
      </c>
      <c r="K72" s="7"/>
      <c r="L72">
        <v>18</v>
      </c>
      <c r="M72" t="s">
        <v>34</v>
      </c>
      <c r="N72" t="s">
        <v>34</v>
      </c>
      <c r="O72" t="s">
        <v>35</v>
      </c>
      <c r="P72" t="s">
        <v>34</v>
      </c>
      <c r="Q72" s="7"/>
      <c r="R72" s="7"/>
    </row>
    <row r="73" spans="1:18" x14ac:dyDescent="0.25">
      <c r="A73" t="s">
        <v>404</v>
      </c>
      <c r="B73" s="6">
        <v>45955</v>
      </c>
      <c r="C73" t="s">
        <v>244</v>
      </c>
      <c r="D73" t="s">
        <v>405</v>
      </c>
      <c r="E73" t="s">
        <v>207</v>
      </c>
      <c r="F73" t="s">
        <v>406</v>
      </c>
      <c r="G73" t="s">
        <v>98</v>
      </c>
      <c r="H73" t="s">
        <v>34</v>
      </c>
      <c r="I73" s="7"/>
      <c r="J73" s="7"/>
      <c r="K73" s="7">
        <v>25000</v>
      </c>
      <c r="L73">
        <v>18</v>
      </c>
      <c r="M73" t="s">
        <v>34</v>
      </c>
      <c r="N73" t="s">
        <v>34</v>
      </c>
      <c r="O73" t="s">
        <v>37</v>
      </c>
      <c r="P73" t="s">
        <v>34</v>
      </c>
      <c r="Q73" s="7"/>
      <c r="R73" s="7"/>
    </row>
    <row r="74" spans="1:18" x14ac:dyDescent="0.25">
      <c r="A74" t="s">
        <v>407</v>
      </c>
      <c r="B74" s="6">
        <v>45961</v>
      </c>
      <c r="C74" t="s">
        <v>229</v>
      </c>
      <c r="D74" t="s">
        <v>408</v>
      </c>
      <c r="E74" t="s">
        <v>34</v>
      </c>
      <c r="F74" t="s">
        <v>409</v>
      </c>
      <c r="G74" t="s">
        <v>232</v>
      </c>
      <c r="H74" t="s">
        <v>34</v>
      </c>
      <c r="I74" s="7"/>
      <c r="J74" s="7"/>
      <c r="K74" s="7">
        <v>40000</v>
      </c>
      <c r="M74" t="s">
        <v>34</v>
      </c>
      <c r="N74" t="s">
        <v>34</v>
      </c>
      <c r="O74" t="s">
        <v>34</v>
      </c>
      <c r="P74" t="s">
        <v>34</v>
      </c>
      <c r="Q74" s="7"/>
      <c r="R74" s="7">
        <v>3000</v>
      </c>
    </row>
    <row r="75" spans="1:18" x14ac:dyDescent="0.25">
      <c r="A75" t="s">
        <v>410</v>
      </c>
      <c r="B75" s="6">
        <v>45963</v>
      </c>
      <c r="C75" t="s">
        <v>237</v>
      </c>
      <c r="D75" t="s">
        <v>411</v>
      </c>
      <c r="E75" t="s">
        <v>34</v>
      </c>
      <c r="F75" t="s">
        <v>412</v>
      </c>
      <c r="G75" t="s">
        <v>232</v>
      </c>
      <c r="H75" t="s">
        <v>34</v>
      </c>
      <c r="I75" s="7"/>
      <c r="J75" s="7"/>
      <c r="K75" s="7">
        <v>37000</v>
      </c>
      <c r="M75" t="s">
        <v>34</v>
      </c>
      <c r="N75" t="s">
        <v>34</v>
      </c>
      <c r="O75" t="s">
        <v>37</v>
      </c>
      <c r="P75" t="s">
        <v>34</v>
      </c>
      <c r="Q75" s="7"/>
      <c r="R75" s="7"/>
    </row>
    <row r="76" spans="1:18" x14ac:dyDescent="0.25">
      <c r="A76" t="s">
        <v>413</v>
      </c>
      <c r="B76" s="6">
        <v>45971</v>
      </c>
      <c r="C76" t="s">
        <v>248</v>
      </c>
      <c r="D76" t="s">
        <v>414</v>
      </c>
      <c r="E76" t="s">
        <v>399</v>
      </c>
      <c r="F76" t="s">
        <v>415</v>
      </c>
      <c r="G76" t="s">
        <v>251</v>
      </c>
      <c r="H76" t="s">
        <v>34</v>
      </c>
      <c r="I76" s="7"/>
      <c r="J76" s="7"/>
      <c r="K76" s="7">
        <v>380800</v>
      </c>
      <c r="M76" t="s">
        <v>34</v>
      </c>
      <c r="N76" t="s">
        <v>34</v>
      </c>
      <c r="O76" t="s">
        <v>35</v>
      </c>
      <c r="P76" t="s">
        <v>34</v>
      </c>
      <c r="Q76" s="7"/>
      <c r="R76" s="7"/>
    </row>
    <row r="77" spans="1:18" x14ac:dyDescent="0.25">
      <c r="A77" t="s">
        <v>416</v>
      </c>
      <c r="B77" s="6">
        <v>45976</v>
      </c>
      <c r="C77" t="s">
        <v>253</v>
      </c>
      <c r="D77" t="s">
        <v>417</v>
      </c>
      <c r="E77" t="s">
        <v>189</v>
      </c>
      <c r="F77" t="s">
        <v>418</v>
      </c>
      <c r="G77" t="s">
        <v>256</v>
      </c>
      <c r="H77" t="s">
        <v>34</v>
      </c>
      <c r="I77" s="7"/>
      <c r="J77" s="7"/>
      <c r="K77" s="7">
        <v>269040</v>
      </c>
      <c r="M77" t="s">
        <v>34</v>
      </c>
      <c r="N77" t="s">
        <v>34</v>
      </c>
      <c r="O77" t="s">
        <v>35</v>
      </c>
      <c r="P77" t="s">
        <v>34</v>
      </c>
      <c r="Q77" s="7"/>
      <c r="R77" s="7"/>
    </row>
    <row r="78" spans="1:18" x14ac:dyDescent="0.25">
      <c r="A78" t="s">
        <v>419</v>
      </c>
      <c r="B78" s="6">
        <v>45981</v>
      </c>
      <c r="C78" t="s">
        <v>319</v>
      </c>
      <c r="D78" t="s">
        <v>420</v>
      </c>
      <c r="E78" t="s">
        <v>34</v>
      </c>
      <c r="F78" t="s">
        <v>421</v>
      </c>
      <c r="G78" t="s">
        <v>322</v>
      </c>
      <c r="H78" t="s">
        <v>34</v>
      </c>
      <c r="I78" s="7"/>
      <c r="J78" s="7"/>
      <c r="K78" s="7"/>
      <c r="M78" t="s">
        <v>34</v>
      </c>
      <c r="N78" t="s">
        <v>34</v>
      </c>
      <c r="O78" t="s">
        <v>35</v>
      </c>
      <c r="P78" t="s">
        <v>34</v>
      </c>
      <c r="Q78" s="7"/>
      <c r="R78" s="7"/>
    </row>
    <row r="79" spans="1:18" x14ac:dyDescent="0.25">
      <c r="A79" t="s">
        <v>422</v>
      </c>
      <c r="B79" s="6">
        <v>45986</v>
      </c>
      <c r="C79" t="s">
        <v>205</v>
      </c>
      <c r="D79" t="s">
        <v>423</v>
      </c>
      <c r="E79" t="s">
        <v>207</v>
      </c>
      <c r="F79" t="s">
        <v>424</v>
      </c>
      <c r="G79" t="s">
        <v>209</v>
      </c>
      <c r="H79" t="s">
        <v>192</v>
      </c>
      <c r="I79" s="7">
        <v>300</v>
      </c>
      <c r="J79" s="7">
        <v>495</v>
      </c>
      <c r="K79" s="7"/>
      <c r="L79">
        <v>18</v>
      </c>
      <c r="M79" t="s">
        <v>34</v>
      </c>
      <c r="N79" t="s">
        <v>34</v>
      </c>
      <c r="O79" t="s">
        <v>29</v>
      </c>
      <c r="P79" t="s">
        <v>34</v>
      </c>
      <c r="Q79" s="7"/>
      <c r="R79" s="7"/>
    </row>
    <row r="80" spans="1:18" x14ac:dyDescent="0.25">
      <c r="A80" t="s">
        <v>425</v>
      </c>
      <c r="B80" s="6">
        <v>45991</v>
      </c>
      <c r="C80" t="s">
        <v>229</v>
      </c>
      <c r="D80" t="s">
        <v>426</v>
      </c>
      <c r="E80" t="s">
        <v>34</v>
      </c>
      <c r="F80" t="s">
        <v>427</v>
      </c>
      <c r="G80" t="s">
        <v>232</v>
      </c>
      <c r="H80" t="s">
        <v>34</v>
      </c>
      <c r="I80" s="7"/>
      <c r="J80" s="7"/>
      <c r="K80" s="7">
        <v>40000</v>
      </c>
      <c r="M80" t="s">
        <v>34</v>
      </c>
      <c r="N80" t="s">
        <v>34</v>
      </c>
      <c r="O80" t="s">
        <v>34</v>
      </c>
      <c r="P80" t="s">
        <v>34</v>
      </c>
      <c r="Q80" s="7"/>
      <c r="R80" s="7">
        <v>3000</v>
      </c>
    </row>
    <row r="81" spans="1:18" x14ac:dyDescent="0.25">
      <c r="A81" t="s">
        <v>428</v>
      </c>
      <c r="B81" s="6">
        <v>45993</v>
      </c>
      <c r="C81" t="s">
        <v>237</v>
      </c>
      <c r="D81" t="s">
        <v>429</v>
      </c>
      <c r="E81" t="s">
        <v>34</v>
      </c>
      <c r="F81" t="s">
        <v>430</v>
      </c>
      <c r="G81" t="s">
        <v>232</v>
      </c>
      <c r="H81" t="s">
        <v>34</v>
      </c>
      <c r="I81" s="7"/>
      <c r="J81" s="7"/>
      <c r="K81" s="7">
        <v>37000</v>
      </c>
      <c r="M81" t="s">
        <v>34</v>
      </c>
      <c r="N81" t="s">
        <v>34</v>
      </c>
      <c r="O81" t="s">
        <v>37</v>
      </c>
      <c r="P81" t="s">
        <v>34</v>
      </c>
      <c r="Q81" s="7"/>
      <c r="R81" s="7"/>
    </row>
    <row r="82" spans="1:18" x14ac:dyDescent="0.25">
      <c r="A82" t="s">
        <v>431</v>
      </c>
      <c r="B82" s="6">
        <v>45996</v>
      </c>
      <c r="C82" t="s">
        <v>150</v>
      </c>
      <c r="D82" t="s">
        <v>432</v>
      </c>
      <c r="E82" t="s">
        <v>34</v>
      </c>
      <c r="F82" t="s">
        <v>433</v>
      </c>
      <c r="G82" t="s">
        <v>434</v>
      </c>
      <c r="H82" t="s">
        <v>34</v>
      </c>
      <c r="I82" s="7"/>
      <c r="J82" s="7"/>
      <c r="K82" s="7">
        <v>350000</v>
      </c>
      <c r="M82" t="s">
        <v>34</v>
      </c>
      <c r="N82" t="s">
        <v>34</v>
      </c>
      <c r="O82" t="s">
        <v>29</v>
      </c>
      <c r="P82" t="s">
        <v>35</v>
      </c>
      <c r="Q82" s="7"/>
      <c r="R82" s="7"/>
    </row>
    <row r="83" spans="1:18" x14ac:dyDescent="0.25">
      <c r="A83" t="s">
        <v>435</v>
      </c>
      <c r="B83" s="6">
        <v>46001</v>
      </c>
      <c r="C83" t="s">
        <v>205</v>
      </c>
      <c r="D83" t="s">
        <v>436</v>
      </c>
      <c r="E83" t="s">
        <v>207</v>
      </c>
      <c r="F83" t="s">
        <v>437</v>
      </c>
      <c r="G83" t="s">
        <v>209</v>
      </c>
      <c r="H83" t="s">
        <v>197</v>
      </c>
      <c r="I83" s="7">
        <v>200</v>
      </c>
      <c r="J83" s="7">
        <v>1650</v>
      </c>
      <c r="K83" s="7"/>
      <c r="L83">
        <v>12</v>
      </c>
      <c r="M83" t="s">
        <v>34</v>
      </c>
      <c r="N83" t="s">
        <v>34</v>
      </c>
      <c r="O83" t="s">
        <v>35</v>
      </c>
      <c r="P83" t="s">
        <v>34</v>
      </c>
      <c r="Q83" s="7"/>
      <c r="R83" s="7"/>
    </row>
    <row r="84" spans="1:18" x14ac:dyDescent="0.25">
      <c r="A84" t="s">
        <v>438</v>
      </c>
      <c r="B84" s="6">
        <v>46006</v>
      </c>
      <c r="C84" t="s">
        <v>362</v>
      </c>
      <c r="D84" t="s">
        <v>439</v>
      </c>
      <c r="E84" t="s">
        <v>172</v>
      </c>
      <c r="F84" t="s">
        <v>440</v>
      </c>
      <c r="G84" t="s">
        <v>365</v>
      </c>
      <c r="H84" t="s">
        <v>34</v>
      </c>
      <c r="I84" s="7"/>
      <c r="J84" s="7"/>
      <c r="K84" s="7">
        <v>100000</v>
      </c>
      <c r="M84" t="s">
        <v>34</v>
      </c>
      <c r="N84" t="s">
        <v>34</v>
      </c>
      <c r="O84" t="s">
        <v>35</v>
      </c>
      <c r="P84" t="s">
        <v>34</v>
      </c>
      <c r="Q84" s="7">
        <v>19200</v>
      </c>
      <c r="R84" s="7"/>
    </row>
    <row r="85" spans="1:18" x14ac:dyDescent="0.25">
      <c r="A85" t="s">
        <v>441</v>
      </c>
      <c r="B85" s="6">
        <v>46011</v>
      </c>
      <c r="C85" t="s">
        <v>442</v>
      </c>
      <c r="D85" t="s">
        <v>443</v>
      </c>
      <c r="E85" t="s">
        <v>282</v>
      </c>
      <c r="F85" t="s">
        <v>444</v>
      </c>
      <c r="G85" t="s">
        <v>445</v>
      </c>
      <c r="H85" t="s">
        <v>34</v>
      </c>
      <c r="I85" s="7"/>
      <c r="J85" s="7"/>
      <c r="K85" s="7">
        <v>50000</v>
      </c>
      <c r="M85" t="s">
        <v>34</v>
      </c>
      <c r="N85" t="s">
        <v>34</v>
      </c>
      <c r="O85" t="s">
        <v>35</v>
      </c>
      <c r="P85" t="s">
        <v>34</v>
      </c>
      <c r="Q85" s="7">
        <v>4500</v>
      </c>
      <c r="R85" s="7"/>
    </row>
    <row r="86" spans="1:18" x14ac:dyDescent="0.25">
      <c r="A86" t="s">
        <v>446</v>
      </c>
      <c r="B86" s="6">
        <v>46022</v>
      </c>
      <c r="C86" t="s">
        <v>371</v>
      </c>
      <c r="D86" t="s">
        <v>447</v>
      </c>
      <c r="E86" t="s">
        <v>34</v>
      </c>
      <c r="F86" t="s">
        <v>448</v>
      </c>
      <c r="G86" t="s">
        <v>47</v>
      </c>
      <c r="H86" t="s">
        <v>34</v>
      </c>
      <c r="I86" s="7"/>
      <c r="J86" s="7"/>
      <c r="K86" s="7">
        <v>66000</v>
      </c>
      <c r="M86" t="s">
        <v>34</v>
      </c>
      <c r="N86" t="s">
        <v>34</v>
      </c>
      <c r="O86" t="s">
        <v>34</v>
      </c>
      <c r="P86" t="s">
        <v>34</v>
      </c>
      <c r="Q86" s="7"/>
      <c r="R86" s="7"/>
    </row>
    <row r="87" spans="1:18" x14ac:dyDescent="0.25">
      <c r="A87" t="s">
        <v>449</v>
      </c>
      <c r="B87" s="6">
        <v>46022</v>
      </c>
      <c r="C87" t="s">
        <v>301</v>
      </c>
      <c r="D87" t="s">
        <v>450</v>
      </c>
      <c r="E87" t="s">
        <v>34</v>
      </c>
      <c r="F87" t="s">
        <v>451</v>
      </c>
      <c r="G87" t="s">
        <v>304</v>
      </c>
      <c r="H87" t="s">
        <v>34</v>
      </c>
      <c r="I87" s="7"/>
      <c r="J87" s="7"/>
      <c r="K87" s="7"/>
      <c r="M87" t="s">
        <v>34</v>
      </c>
      <c r="N87" t="s">
        <v>34</v>
      </c>
      <c r="O87" t="s">
        <v>34</v>
      </c>
      <c r="P87" t="s">
        <v>34</v>
      </c>
      <c r="Q87" s="7"/>
      <c r="R87" s="7"/>
    </row>
    <row r="88" spans="1:18" x14ac:dyDescent="0.25">
      <c r="A88" t="s">
        <v>452</v>
      </c>
      <c r="B88" s="6">
        <v>46022</v>
      </c>
      <c r="C88" t="s">
        <v>229</v>
      </c>
      <c r="D88" t="s">
        <v>453</v>
      </c>
      <c r="E88" t="s">
        <v>34</v>
      </c>
      <c r="F88" t="s">
        <v>454</v>
      </c>
      <c r="G88" t="s">
        <v>232</v>
      </c>
      <c r="H88" t="s">
        <v>34</v>
      </c>
      <c r="I88" s="7"/>
      <c r="J88" s="7"/>
      <c r="K88" s="7">
        <v>40000</v>
      </c>
      <c r="M88" t="s">
        <v>34</v>
      </c>
      <c r="N88" t="s">
        <v>34</v>
      </c>
      <c r="O88" t="s">
        <v>34</v>
      </c>
      <c r="P88" t="s">
        <v>34</v>
      </c>
      <c r="Q88" s="7"/>
      <c r="R88" s="7">
        <v>3000</v>
      </c>
    </row>
    <row r="89" spans="1:18" x14ac:dyDescent="0.25">
      <c r="A89" t="s">
        <v>455</v>
      </c>
      <c r="B89" s="6">
        <v>46024</v>
      </c>
      <c r="C89" t="s">
        <v>237</v>
      </c>
      <c r="D89" t="s">
        <v>456</v>
      </c>
      <c r="E89" t="s">
        <v>34</v>
      </c>
      <c r="F89" t="s">
        <v>457</v>
      </c>
      <c r="G89" t="s">
        <v>232</v>
      </c>
      <c r="H89" t="s">
        <v>34</v>
      </c>
      <c r="I89" s="7"/>
      <c r="J89" s="7"/>
      <c r="K89" s="7">
        <v>37000</v>
      </c>
      <c r="M89" t="s">
        <v>34</v>
      </c>
      <c r="N89" t="s">
        <v>34</v>
      </c>
      <c r="O89" t="s">
        <v>37</v>
      </c>
      <c r="P89" t="s">
        <v>34</v>
      </c>
      <c r="Q89" s="7"/>
      <c r="R89" s="7"/>
    </row>
    <row r="90" spans="1:18" x14ac:dyDescent="0.25">
      <c r="A90" t="s">
        <v>458</v>
      </c>
      <c r="B90" s="6">
        <v>46032</v>
      </c>
      <c r="C90" t="s">
        <v>181</v>
      </c>
      <c r="D90" t="s">
        <v>459</v>
      </c>
      <c r="E90" t="s">
        <v>219</v>
      </c>
      <c r="F90" t="s">
        <v>460</v>
      </c>
      <c r="G90" t="s">
        <v>221</v>
      </c>
      <c r="H90" t="s">
        <v>34</v>
      </c>
      <c r="I90" s="7"/>
      <c r="J90" s="7"/>
      <c r="K90" s="7">
        <v>24000</v>
      </c>
      <c r="M90" t="s">
        <v>222</v>
      </c>
      <c r="N90" t="s">
        <v>110</v>
      </c>
      <c r="O90" t="s">
        <v>37</v>
      </c>
      <c r="P90" t="s">
        <v>34</v>
      </c>
      <c r="Q90" s="7"/>
      <c r="R90" s="7"/>
    </row>
    <row r="91" spans="1:18" x14ac:dyDescent="0.25">
      <c r="A91" t="s">
        <v>461</v>
      </c>
      <c r="B91" s="6">
        <v>46037</v>
      </c>
      <c r="C91" t="s">
        <v>205</v>
      </c>
      <c r="D91" t="s">
        <v>462</v>
      </c>
      <c r="E91" t="s">
        <v>207</v>
      </c>
      <c r="F91" t="s">
        <v>463</v>
      </c>
      <c r="G91" t="s">
        <v>209</v>
      </c>
      <c r="H91" t="s">
        <v>203</v>
      </c>
      <c r="I91" s="7">
        <v>100</v>
      </c>
      <c r="J91" s="7">
        <v>1250</v>
      </c>
      <c r="K91" s="7"/>
      <c r="L91">
        <v>18</v>
      </c>
      <c r="M91" t="s">
        <v>34</v>
      </c>
      <c r="N91" t="s">
        <v>34</v>
      </c>
      <c r="O91" t="s">
        <v>37</v>
      </c>
      <c r="P91" t="s">
        <v>34</v>
      </c>
      <c r="Q91" s="7"/>
      <c r="R91" s="7"/>
    </row>
    <row r="92" spans="1:18" x14ac:dyDescent="0.25">
      <c r="A92" t="s">
        <v>464</v>
      </c>
      <c r="B92" s="6">
        <v>46040</v>
      </c>
      <c r="C92" t="s">
        <v>244</v>
      </c>
      <c r="D92" t="s">
        <v>465</v>
      </c>
      <c r="E92" t="s">
        <v>207</v>
      </c>
      <c r="F92" t="s">
        <v>466</v>
      </c>
      <c r="G92" t="s">
        <v>98</v>
      </c>
      <c r="H92" t="s">
        <v>34</v>
      </c>
      <c r="I92" s="7"/>
      <c r="J92" s="7"/>
      <c r="K92" s="7">
        <v>12000</v>
      </c>
      <c r="L92">
        <v>0</v>
      </c>
      <c r="M92" t="s">
        <v>467</v>
      </c>
      <c r="N92" t="s">
        <v>34</v>
      </c>
      <c r="O92" t="s">
        <v>29</v>
      </c>
      <c r="P92" t="s">
        <v>34</v>
      </c>
      <c r="Q92" s="7"/>
      <c r="R92" s="7"/>
    </row>
    <row r="93" spans="1:18" x14ac:dyDescent="0.25">
      <c r="A93" t="s">
        <v>468</v>
      </c>
      <c r="B93" s="6">
        <v>46042</v>
      </c>
      <c r="C93" t="s">
        <v>248</v>
      </c>
      <c r="D93" t="s">
        <v>469</v>
      </c>
      <c r="E93" t="s">
        <v>212</v>
      </c>
      <c r="F93" t="s">
        <v>470</v>
      </c>
      <c r="G93" t="s">
        <v>251</v>
      </c>
      <c r="H93" t="s">
        <v>34</v>
      </c>
      <c r="I93" s="7"/>
      <c r="J93" s="7"/>
      <c r="K93" s="7">
        <v>118380</v>
      </c>
      <c r="M93" t="s">
        <v>34</v>
      </c>
      <c r="N93" t="s">
        <v>34</v>
      </c>
      <c r="O93" t="s">
        <v>35</v>
      </c>
      <c r="P93" t="s">
        <v>34</v>
      </c>
      <c r="Q93" s="7"/>
      <c r="R93" s="7"/>
    </row>
    <row r="94" spans="1:18" x14ac:dyDescent="0.25">
      <c r="A94" t="s">
        <v>471</v>
      </c>
      <c r="B94" s="6">
        <v>46044</v>
      </c>
      <c r="C94" t="s">
        <v>319</v>
      </c>
      <c r="D94" t="s">
        <v>472</v>
      </c>
      <c r="E94" t="s">
        <v>34</v>
      </c>
      <c r="F94" t="s">
        <v>473</v>
      </c>
      <c r="G94" t="s">
        <v>322</v>
      </c>
      <c r="H94" t="s">
        <v>34</v>
      </c>
      <c r="I94" s="7"/>
      <c r="J94" s="7"/>
      <c r="K94" s="7"/>
      <c r="M94" t="s">
        <v>34</v>
      </c>
      <c r="N94" t="s">
        <v>34</v>
      </c>
      <c r="O94" t="s">
        <v>35</v>
      </c>
      <c r="P94" t="s">
        <v>34</v>
      </c>
      <c r="Q94" s="7"/>
      <c r="R94" s="7"/>
    </row>
    <row r="95" spans="1:18" x14ac:dyDescent="0.25">
      <c r="A95" t="s">
        <v>474</v>
      </c>
      <c r="B95" s="6">
        <v>46047</v>
      </c>
      <c r="C95" t="s">
        <v>187</v>
      </c>
      <c r="D95" t="s">
        <v>475</v>
      </c>
      <c r="E95" t="s">
        <v>195</v>
      </c>
      <c r="F95" t="s">
        <v>476</v>
      </c>
      <c r="G95" t="s">
        <v>191</v>
      </c>
      <c r="H95" t="s">
        <v>197</v>
      </c>
      <c r="I95" s="7">
        <v>300</v>
      </c>
      <c r="J95" s="7">
        <v>940</v>
      </c>
      <c r="K95" s="7"/>
      <c r="L95">
        <v>12</v>
      </c>
      <c r="M95" t="s">
        <v>34</v>
      </c>
      <c r="N95" t="s">
        <v>34</v>
      </c>
      <c r="O95" t="s">
        <v>198</v>
      </c>
      <c r="P95" t="s">
        <v>34</v>
      </c>
      <c r="Q95" s="7"/>
      <c r="R95" s="7"/>
    </row>
    <row r="96" spans="1:18" x14ac:dyDescent="0.25">
      <c r="A96" t="s">
        <v>477</v>
      </c>
      <c r="B96" s="6">
        <v>46053</v>
      </c>
      <c r="C96" t="s">
        <v>229</v>
      </c>
      <c r="D96" t="s">
        <v>478</v>
      </c>
      <c r="E96" t="s">
        <v>34</v>
      </c>
      <c r="F96" t="s">
        <v>479</v>
      </c>
      <c r="G96" t="s">
        <v>232</v>
      </c>
      <c r="H96" t="s">
        <v>34</v>
      </c>
      <c r="I96" s="7"/>
      <c r="J96" s="7"/>
      <c r="K96" s="7">
        <v>40000</v>
      </c>
      <c r="M96" t="s">
        <v>34</v>
      </c>
      <c r="N96" t="s">
        <v>34</v>
      </c>
      <c r="O96" t="s">
        <v>34</v>
      </c>
      <c r="P96" t="s">
        <v>34</v>
      </c>
      <c r="Q96" s="7"/>
      <c r="R96" s="7">
        <v>3000</v>
      </c>
    </row>
    <row r="97" spans="1:18" x14ac:dyDescent="0.25">
      <c r="A97" t="s">
        <v>480</v>
      </c>
      <c r="B97" s="6">
        <v>46055</v>
      </c>
      <c r="C97" t="s">
        <v>237</v>
      </c>
      <c r="D97" t="s">
        <v>481</v>
      </c>
      <c r="E97" t="s">
        <v>34</v>
      </c>
      <c r="F97" t="s">
        <v>482</v>
      </c>
      <c r="G97" t="s">
        <v>232</v>
      </c>
      <c r="H97" t="s">
        <v>34</v>
      </c>
      <c r="I97" s="7"/>
      <c r="J97" s="7"/>
      <c r="K97" s="7">
        <v>37000</v>
      </c>
      <c r="M97" t="s">
        <v>34</v>
      </c>
      <c r="N97" t="s">
        <v>34</v>
      </c>
      <c r="O97" t="s">
        <v>37</v>
      </c>
      <c r="P97" t="s">
        <v>34</v>
      </c>
      <c r="Q97" s="7"/>
      <c r="R97" s="7"/>
    </row>
    <row r="98" spans="1:18" x14ac:dyDescent="0.25">
      <c r="A98" t="s">
        <v>483</v>
      </c>
      <c r="B98" s="6">
        <v>46063</v>
      </c>
      <c r="C98" t="s">
        <v>181</v>
      </c>
      <c r="D98" t="s">
        <v>484</v>
      </c>
      <c r="E98" t="s">
        <v>172</v>
      </c>
      <c r="F98" t="s">
        <v>485</v>
      </c>
      <c r="G98" t="s">
        <v>117</v>
      </c>
      <c r="H98" t="s">
        <v>34</v>
      </c>
      <c r="I98" s="7"/>
      <c r="J98" s="7"/>
      <c r="K98" s="7">
        <v>2500</v>
      </c>
      <c r="L98">
        <v>18</v>
      </c>
      <c r="M98" t="s">
        <v>34</v>
      </c>
      <c r="N98" t="s">
        <v>116</v>
      </c>
      <c r="O98" t="s">
        <v>35</v>
      </c>
      <c r="P98" t="s">
        <v>34</v>
      </c>
      <c r="Q98" s="7"/>
      <c r="R98" s="7"/>
    </row>
    <row r="99" spans="1:18" x14ac:dyDescent="0.25">
      <c r="A99" t="s">
        <v>486</v>
      </c>
      <c r="B99" s="6">
        <v>46065</v>
      </c>
      <c r="C99" t="s">
        <v>205</v>
      </c>
      <c r="D99" t="s">
        <v>487</v>
      </c>
      <c r="E99" t="s">
        <v>207</v>
      </c>
      <c r="F99" t="s">
        <v>488</v>
      </c>
      <c r="G99" t="s">
        <v>209</v>
      </c>
      <c r="H99" t="s">
        <v>197</v>
      </c>
      <c r="I99" s="7">
        <v>200</v>
      </c>
      <c r="J99" s="7">
        <v>1650</v>
      </c>
      <c r="K99" s="7"/>
      <c r="L99">
        <v>12</v>
      </c>
      <c r="M99" t="s">
        <v>34</v>
      </c>
      <c r="N99" t="s">
        <v>34</v>
      </c>
      <c r="O99" t="s">
        <v>37</v>
      </c>
      <c r="P99" t="s">
        <v>34</v>
      </c>
      <c r="Q99" s="7"/>
      <c r="R99" s="7"/>
    </row>
    <row r="100" spans="1:18" x14ac:dyDescent="0.25">
      <c r="A100" t="s">
        <v>489</v>
      </c>
      <c r="B100" s="6">
        <v>46068</v>
      </c>
      <c r="C100" t="s">
        <v>244</v>
      </c>
      <c r="D100" t="s">
        <v>490</v>
      </c>
      <c r="E100" t="s">
        <v>207</v>
      </c>
      <c r="F100" t="s">
        <v>491</v>
      </c>
      <c r="G100" t="s">
        <v>98</v>
      </c>
      <c r="H100" t="s">
        <v>34</v>
      </c>
      <c r="I100" s="7"/>
      <c r="J100" s="7"/>
      <c r="K100" s="7">
        <v>18000</v>
      </c>
      <c r="L100">
        <v>18</v>
      </c>
      <c r="M100" t="s">
        <v>34</v>
      </c>
      <c r="N100" t="s">
        <v>34</v>
      </c>
      <c r="O100" t="s">
        <v>29</v>
      </c>
      <c r="P100" t="s">
        <v>34</v>
      </c>
      <c r="Q100" s="7"/>
      <c r="R100" s="7"/>
    </row>
    <row r="101" spans="1:18" x14ac:dyDescent="0.25">
      <c r="A101" t="s">
        <v>492</v>
      </c>
      <c r="B101" s="6">
        <v>46071</v>
      </c>
      <c r="C101" t="s">
        <v>205</v>
      </c>
      <c r="D101" t="s">
        <v>493</v>
      </c>
      <c r="E101" t="s">
        <v>207</v>
      </c>
      <c r="F101" t="s">
        <v>494</v>
      </c>
      <c r="G101" t="s">
        <v>209</v>
      </c>
      <c r="H101" t="s">
        <v>192</v>
      </c>
      <c r="I101" s="7">
        <v>300</v>
      </c>
      <c r="J101" s="7">
        <v>500</v>
      </c>
      <c r="K101" s="7"/>
      <c r="L101">
        <v>18</v>
      </c>
      <c r="M101" t="s">
        <v>34</v>
      </c>
      <c r="N101" t="s">
        <v>34</v>
      </c>
      <c r="O101" t="s">
        <v>37</v>
      </c>
      <c r="P101" t="s">
        <v>34</v>
      </c>
      <c r="Q101" s="7"/>
      <c r="R101" s="7"/>
    </row>
    <row r="102" spans="1:18" x14ac:dyDescent="0.25">
      <c r="A102" t="s">
        <v>495</v>
      </c>
      <c r="B102" s="6">
        <v>46073</v>
      </c>
      <c r="C102" t="s">
        <v>237</v>
      </c>
      <c r="D102" t="s">
        <v>496</v>
      </c>
      <c r="E102" t="s">
        <v>34</v>
      </c>
      <c r="F102" t="s">
        <v>497</v>
      </c>
      <c r="G102" t="s">
        <v>232</v>
      </c>
      <c r="H102" t="s">
        <v>34</v>
      </c>
      <c r="I102" s="7"/>
      <c r="J102" s="7"/>
      <c r="K102" s="7">
        <v>18000</v>
      </c>
      <c r="M102" t="s">
        <v>34</v>
      </c>
      <c r="N102" t="s">
        <v>80</v>
      </c>
      <c r="O102" t="s">
        <v>35</v>
      </c>
      <c r="P102" t="s">
        <v>34</v>
      </c>
      <c r="Q102" s="7"/>
      <c r="R102" s="7"/>
    </row>
    <row r="103" spans="1:18" x14ac:dyDescent="0.25">
      <c r="A103" t="s">
        <v>498</v>
      </c>
      <c r="B103" s="6">
        <v>46073</v>
      </c>
      <c r="C103" t="s">
        <v>319</v>
      </c>
      <c r="D103" t="s">
        <v>499</v>
      </c>
      <c r="E103" t="s">
        <v>34</v>
      </c>
      <c r="F103" t="s">
        <v>500</v>
      </c>
      <c r="G103" t="s">
        <v>322</v>
      </c>
      <c r="H103" t="s">
        <v>34</v>
      </c>
      <c r="I103" s="7"/>
      <c r="J103" s="7"/>
      <c r="K103" s="7"/>
      <c r="M103" t="s">
        <v>34</v>
      </c>
      <c r="N103" t="s">
        <v>34</v>
      </c>
      <c r="O103" t="s">
        <v>35</v>
      </c>
      <c r="P103" t="s">
        <v>34</v>
      </c>
      <c r="Q103" s="7"/>
      <c r="R103" s="7"/>
    </row>
    <row r="104" spans="1:18" x14ac:dyDescent="0.25">
      <c r="A104" t="s">
        <v>501</v>
      </c>
      <c r="B104" s="6">
        <v>46081</v>
      </c>
      <c r="C104" t="s">
        <v>229</v>
      </c>
      <c r="D104" t="s">
        <v>502</v>
      </c>
      <c r="E104" t="s">
        <v>34</v>
      </c>
      <c r="F104" t="s">
        <v>503</v>
      </c>
      <c r="G104" t="s">
        <v>232</v>
      </c>
      <c r="H104" t="s">
        <v>34</v>
      </c>
      <c r="I104" s="7"/>
      <c r="J104" s="7"/>
      <c r="K104" s="7">
        <v>40000</v>
      </c>
      <c r="M104" t="s">
        <v>34</v>
      </c>
      <c r="N104" t="s">
        <v>34</v>
      </c>
      <c r="O104" t="s">
        <v>34</v>
      </c>
      <c r="P104" t="s">
        <v>34</v>
      </c>
      <c r="Q104" s="7"/>
      <c r="R104" s="7">
        <v>3000</v>
      </c>
    </row>
    <row r="105" spans="1:18" x14ac:dyDescent="0.25">
      <c r="A105" t="s">
        <v>504</v>
      </c>
      <c r="B105" s="6">
        <v>46083</v>
      </c>
      <c r="C105" t="s">
        <v>237</v>
      </c>
      <c r="D105" t="s">
        <v>505</v>
      </c>
      <c r="E105" t="s">
        <v>34</v>
      </c>
      <c r="F105" t="s">
        <v>506</v>
      </c>
      <c r="G105" t="s">
        <v>232</v>
      </c>
      <c r="H105" t="s">
        <v>34</v>
      </c>
      <c r="I105" s="7"/>
      <c r="J105" s="7"/>
      <c r="K105" s="7">
        <v>37000</v>
      </c>
      <c r="M105" t="s">
        <v>34</v>
      </c>
      <c r="N105" t="s">
        <v>34</v>
      </c>
      <c r="O105" t="s">
        <v>37</v>
      </c>
      <c r="P105" t="s">
        <v>34</v>
      </c>
      <c r="Q105" s="7"/>
      <c r="R105" s="7"/>
    </row>
    <row r="106" spans="1:18" x14ac:dyDescent="0.25">
      <c r="A106" t="s">
        <v>507</v>
      </c>
      <c r="B106" s="6">
        <v>46086</v>
      </c>
      <c r="C106" t="s">
        <v>205</v>
      </c>
      <c r="D106" t="s">
        <v>211</v>
      </c>
      <c r="E106" t="s">
        <v>212</v>
      </c>
      <c r="F106" t="s">
        <v>508</v>
      </c>
      <c r="G106" t="s">
        <v>209</v>
      </c>
      <c r="H106" t="s">
        <v>197</v>
      </c>
      <c r="I106" s="7">
        <v>150</v>
      </c>
      <c r="J106" s="7">
        <v>1650</v>
      </c>
      <c r="K106" s="7"/>
      <c r="L106">
        <v>12</v>
      </c>
      <c r="M106" t="s">
        <v>34</v>
      </c>
      <c r="N106" t="s">
        <v>34</v>
      </c>
      <c r="O106" t="s">
        <v>198</v>
      </c>
      <c r="P106" t="s">
        <v>34</v>
      </c>
      <c r="Q106" s="7"/>
      <c r="R106" s="7"/>
    </row>
    <row r="107" spans="1:18" x14ac:dyDescent="0.25">
      <c r="A107" t="s">
        <v>509</v>
      </c>
      <c r="B107" s="6">
        <v>46089</v>
      </c>
      <c r="C107" t="s">
        <v>253</v>
      </c>
      <c r="D107" t="s">
        <v>510</v>
      </c>
      <c r="E107" t="s">
        <v>195</v>
      </c>
      <c r="F107" t="s">
        <v>511</v>
      </c>
      <c r="G107" t="s">
        <v>256</v>
      </c>
      <c r="H107" t="s">
        <v>34</v>
      </c>
      <c r="I107" s="7"/>
      <c r="J107" s="7"/>
      <c r="K107" s="7">
        <v>315840</v>
      </c>
      <c r="M107" t="s">
        <v>34</v>
      </c>
      <c r="N107" t="s">
        <v>34</v>
      </c>
      <c r="O107" t="s">
        <v>35</v>
      </c>
      <c r="P107" t="s">
        <v>34</v>
      </c>
      <c r="Q107" s="7"/>
      <c r="R107" s="7"/>
    </row>
    <row r="108" spans="1:18" x14ac:dyDescent="0.25">
      <c r="A108" t="s">
        <v>512</v>
      </c>
      <c r="B108" s="6">
        <v>46091</v>
      </c>
      <c r="C108" t="s">
        <v>150</v>
      </c>
      <c r="D108" t="s">
        <v>513</v>
      </c>
      <c r="E108" t="s">
        <v>34</v>
      </c>
      <c r="F108" t="s">
        <v>514</v>
      </c>
      <c r="G108" t="s">
        <v>153</v>
      </c>
      <c r="H108" t="s">
        <v>34</v>
      </c>
      <c r="I108" s="7"/>
      <c r="J108" s="7"/>
      <c r="K108" s="7">
        <v>200000</v>
      </c>
      <c r="M108" t="s">
        <v>34</v>
      </c>
      <c r="N108" t="s">
        <v>34</v>
      </c>
      <c r="O108" t="s">
        <v>37</v>
      </c>
      <c r="P108" t="s">
        <v>35</v>
      </c>
      <c r="Q108" s="7"/>
      <c r="R108" s="7"/>
    </row>
    <row r="109" spans="1:18" x14ac:dyDescent="0.25">
      <c r="A109" t="s">
        <v>515</v>
      </c>
      <c r="B109" s="6">
        <v>46093</v>
      </c>
      <c r="C109" t="s">
        <v>187</v>
      </c>
      <c r="D109" t="s">
        <v>516</v>
      </c>
      <c r="E109" t="s">
        <v>189</v>
      </c>
      <c r="F109" t="s">
        <v>517</v>
      </c>
      <c r="G109" t="s">
        <v>191</v>
      </c>
      <c r="H109" t="s">
        <v>192</v>
      </c>
      <c r="I109" s="7">
        <v>400</v>
      </c>
      <c r="J109" s="7">
        <v>295</v>
      </c>
      <c r="K109" s="7"/>
      <c r="L109">
        <v>18</v>
      </c>
      <c r="M109" t="s">
        <v>34</v>
      </c>
      <c r="N109" t="s">
        <v>34</v>
      </c>
      <c r="O109" t="s">
        <v>198</v>
      </c>
      <c r="P109" t="s">
        <v>34</v>
      </c>
      <c r="Q109" s="7"/>
      <c r="R109" s="7"/>
    </row>
    <row r="110" spans="1:18" x14ac:dyDescent="0.25">
      <c r="A110" t="s">
        <v>518</v>
      </c>
      <c r="B110" s="6">
        <v>46096</v>
      </c>
      <c r="C110" t="s">
        <v>362</v>
      </c>
      <c r="D110" t="s">
        <v>439</v>
      </c>
      <c r="E110" t="s">
        <v>172</v>
      </c>
      <c r="F110" t="s">
        <v>519</v>
      </c>
      <c r="G110" t="s">
        <v>365</v>
      </c>
      <c r="H110" t="s">
        <v>34</v>
      </c>
      <c r="I110" s="7"/>
      <c r="J110" s="7"/>
      <c r="K110" s="7">
        <v>100000</v>
      </c>
      <c r="M110" t="s">
        <v>34</v>
      </c>
      <c r="N110" t="s">
        <v>34</v>
      </c>
      <c r="O110" t="s">
        <v>35</v>
      </c>
      <c r="P110" t="s">
        <v>34</v>
      </c>
      <c r="Q110" s="7">
        <v>15500</v>
      </c>
      <c r="R110" s="7"/>
    </row>
    <row r="111" spans="1:18" x14ac:dyDescent="0.25">
      <c r="A111" t="s">
        <v>520</v>
      </c>
      <c r="B111" s="6">
        <v>46112</v>
      </c>
      <c r="C111" t="s">
        <v>521</v>
      </c>
      <c r="D111" t="s">
        <v>522</v>
      </c>
      <c r="E111" t="s">
        <v>282</v>
      </c>
      <c r="F111" t="s">
        <v>523</v>
      </c>
      <c r="G111" t="s">
        <v>524</v>
      </c>
      <c r="H111" t="s">
        <v>34</v>
      </c>
      <c r="I111" s="7"/>
      <c r="J111" s="7"/>
      <c r="K111" s="7">
        <v>2100</v>
      </c>
      <c r="M111" t="s">
        <v>34</v>
      </c>
      <c r="N111" t="s">
        <v>42</v>
      </c>
      <c r="O111" t="s">
        <v>34</v>
      </c>
      <c r="P111" t="s">
        <v>99</v>
      </c>
      <c r="Q111" s="7"/>
      <c r="R111" s="7"/>
    </row>
    <row r="112" spans="1:18" x14ac:dyDescent="0.25">
      <c r="A112" t="s">
        <v>525</v>
      </c>
      <c r="B112" s="6">
        <v>46112</v>
      </c>
      <c r="C112" t="s">
        <v>521</v>
      </c>
      <c r="D112" t="s">
        <v>526</v>
      </c>
      <c r="E112" t="s">
        <v>172</v>
      </c>
      <c r="F112" t="s">
        <v>527</v>
      </c>
      <c r="G112" t="s">
        <v>524</v>
      </c>
      <c r="H112" t="s">
        <v>34</v>
      </c>
      <c r="I112" s="7"/>
      <c r="J112" s="7"/>
      <c r="K112" s="7">
        <v>3200</v>
      </c>
      <c r="M112" t="s">
        <v>34</v>
      </c>
      <c r="N112" t="s">
        <v>118</v>
      </c>
      <c r="O112" t="s">
        <v>34</v>
      </c>
      <c r="P112" t="s">
        <v>83</v>
      </c>
      <c r="Q112" s="7"/>
      <c r="R112" s="7"/>
    </row>
    <row r="113" spans="1:18" x14ac:dyDescent="0.25">
      <c r="A113" t="s">
        <v>528</v>
      </c>
      <c r="B113" s="6">
        <v>46112</v>
      </c>
      <c r="C113" t="s">
        <v>371</v>
      </c>
      <c r="D113" t="s">
        <v>529</v>
      </c>
      <c r="E113" t="s">
        <v>34</v>
      </c>
      <c r="F113" t="s">
        <v>530</v>
      </c>
      <c r="G113" t="s">
        <v>47</v>
      </c>
      <c r="H113" t="s">
        <v>34</v>
      </c>
      <c r="I113" s="7"/>
      <c r="J113" s="7"/>
      <c r="K113" s="7">
        <v>66000</v>
      </c>
      <c r="M113" t="s">
        <v>34</v>
      </c>
      <c r="N113" t="s">
        <v>34</v>
      </c>
      <c r="O113" t="s">
        <v>34</v>
      </c>
      <c r="P113" t="s">
        <v>34</v>
      </c>
      <c r="Q113" s="7"/>
      <c r="R113" s="7"/>
    </row>
    <row r="114" spans="1:18" x14ac:dyDescent="0.25">
      <c r="A114" t="s">
        <v>531</v>
      </c>
      <c r="B114" s="6">
        <v>46112</v>
      </c>
      <c r="C114" t="s">
        <v>301</v>
      </c>
      <c r="D114" t="s">
        <v>532</v>
      </c>
      <c r="E114" t="s">
        <v>34</v>
      </c>
      <c r="F114" t="s">
        <v>533</v>
      </c>
      <c r="G114" t="s">
        <v>304</v>
      </c>
      <c r="H114" t="s">
        <v>34</v>
      </c>
      <c r="I114" s="7"/>
      <c r="J114" s="7"/>
      <c r="K114" s="7"/>
      <c r="M114" t="s">
        <v>34</v>
      </c>
      <c r="N114" t="s">
        <v>34</v>
      </c>
      <c r="O114" t="s">
        <v>34</v>
      </c>
      <c r="P114" t="s">
        <v>34</v>
      </c>
      <c r="Q114" s="7"/>
      <c r="R114" s="7"/>
    </row>
    <row r="115" spans="1:18" x14ac:dyDescent="0.25">
      <c r="A115" t="s">
        <v>534</v>
      </c>
      <c r="B115" s="6">
        <v>46112</v>
      </c>
      <c r="C115" t="s">
        <v>229</v>
      </c>
      <c r="D115" t="s">
        <v>535</v>
      </c>
      <c r="E115" t="s">
        <v>34</v>
      </c>
      <c r="F115" t="s">
        <v>536</v>
      </c>
      <c r="G115" t="s">
        <v>232</v>
      </c>
      <c r="H115" t="s">
        <v>34</v>
      </c>
      <c r="I115" s="7"/>
      <c r="J115" s="7"/>
      <c r="K115" s="7">
        <v>40000</v>
      </c>
      <c r="M115" t="s">
        <v>34</v>
      </c>
      <c r="N115" t="s">
        <v>34</v>
      </c>
      <c r="O115" t="s">
        <v>34</v>
      </c>
      <c r="P115" t="s">
        <v>34</v>
      </c>
      <c r="Q115" s="7"/>
      <c r="R115" s="7">
        <v>3000</v>
      </c>
    </row>
    <row r="116" spans="1:18" s="3" customFormat="1" x14ac:dyDescent="0.25">
      <c r="A116" s="3" t="s">
        <v>537</v>
      </c>
      <c r="B116" s="13">
        <f>COUNTA(A5:A115)</f>
        <v>111</v>
      </c>
      <c r="I116" s="14"/>
      <c r="J116" s="14"/>
      <c r="K116" s="14"/>
      <c r="Q116" s="14"/>
      <c r="R116" s="14"/>
    </row>
  </sheetData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3" max="3" width="13" style="6" customWidth="1"/>
    <col min="4" max="4" width="11" customWidth="1"/>
    <col min="5" max="5" width="55" customWidth="1"/>
    <col min="6" max="6" width="20" customWidth="1"/>
    <col min="8" max="8" width="36" customWidth="1"/>
    <col min="9" max="10" width="16" style="7" customWidth="1"/>
    <col min="11" max="11" width="22" customWidth="1"/>
    <col min="12" max="12" width="7" customWidth="1"/>
  </cols>
  <sheetData>
    <row r="1" spans="1:10" s="1" customFormat="1" x14ac:dyDescent="0.25">
      <c r="A1" s="8" t="s">
        <v>538</v>
      </c>
      <c r="B1" s="8"/>
      <c r="C1" s="8"/>
      <c r="D1" s="8"/>
      <c r="E1" s="8"/>
      <c r="F1" s="8"/>
      <c r="G1" s="8"/>
      <c r="H1" s="8"/>
      <c r="I1" s="8"/>
      <c r="J1" s="8"/>
    </row>
    <row r="2" spans="1:10" s="2" customFormat="1" x14ac:dyDescent="0.25">
      <c r="A2" s="2" t="s">
        <v>1</v>
      </c>
      <c r="C2" s="9"/>
      <c r="I2" s="10"/>
      <c r="J2" s="10"/>
    </row>
    <row r="4" spans="1:12" s="5" customFormat="1" x14ac:dyDescent="0.25">
      <c r="A4" s="5" t="s">
        <v>539</v>
      </c>
      <c r="B4" s="5" t="s">
        <v>124</v>
      </c>
      <c r="C4" s="11" t="s">
        <v>125</v>
      </c>
      <c r="D4" s="5" t="s">
        <v>128</v>
      </c>
      <c r="E4" s="5" t="s">
        <v>126</v>
      </c>
      <c r="F4" s="5" t="s">
        <v>129</v>
      </c>
      <c r="G4" s="5" t="s">
        <v>136</v>
      </c>
      <c r="H4" s="5" t="s">
        <v>24</v>
      </c>
      <c r="I4" s="12" t="s">
        <v>540</v>
      </c>
      <c r="J4" s="12" t="s">
        <v>541</v>
      </c>
      <c r="K4" s="5" t="s">
        <v>127</v>
      </c>
      <c r="L4" s="5" t="s">
        <v>134</v>
      </c>
    </row>
    <row r="5" spans="1:12" x14ac:dyDescent="0.25">
      <c r="A5" t="s">
        <v>542</v>
      </c>
      <c r="B5" t="s">
        <v>141</v>
      </c>
      <c r="C5" s="6">
        <v>45748</v>
      </c>
      <c r="D5" t="s">
        <v>144</v>
      </c>
      <c r="E5" t="s">
        <v>143</v>
      </c>
      <c r="F5" t="s">
        <v>145</v>
      </c>
      <c r="G5" t="s">
        <v>35</v>
      </c>
      <c r="H5" t="s">
        <v>36</v>
      </c>
      <c r="I5" s="7">
        <v>2500000</v>
      </c>
      <c r="J5" s="7"/>
      <c r="K5" t="s">
        <v>34</v>
      </c>
    </row>
    <row r="6" spans="1:12" x14ac:dyDescent="0.25">
      <c r="A6" t="s">
        <v>542</v>
      </c>
      <c r="B6" t="s">
        <v>141</v>
      </c>
      <c r="C6" s="6">
        <v>45748</v>
      </c>
      <c r="D6" t="s">
        <v>144</v>
      </c>
      <c r="E6" t="s">
        <v>143</v>
      </c>
      <c r="F6" t="s">
        <v>145</v>
      </c>
      <c r="G6" t="s">
        <v>85</v>
      </c>
      <c r="H6" t="s">
        <v>86</v>
      </c>
      <c r="I6" s="7"/>
      <c r="J6" s="7">
        <v>2500000</v>
      </c>
      <c r="K6" t="s">
        <v>34</v>
      </c>
    </row>
    <row r="7" spans="1:12" x14ac:dyDescent="0.25">
      <c r="A7" t="s">
        <v>543</v>
      </c>
      <c r="B7" t="s">
        <v>146</v>
      </c>
      <c r="C7" s="6">
        <v>45748</v>
      </c>
      <c r="D7" t="s">
        <v>148</v>
      </c>
      <c r="E7" t="s">
        <v>147</v>
      </c>
      <c r="F7" t="s">
        <v>145</v>
      </c>
      <c r="G7" t="s">
        <v>29</v>
      </c>
      <c r="H7" t="s">
        <v>30</v>
      </c>
      <c r="I7" s="7">
        <v>100000</v>
      </c>
      <c r="J7" s="7"/>
      <c r="K7" t="s">
        <v>34</v>
      </c>
    </row>
    <row r="8" spans="1:12" x14ac:dyDescent="0.25">
      <c r="A8" t="s">
        <v>543</v>
      </c>
      <c r="B8" t="s">
        <v>146</v>
      </c>
      <c r="C8" s="6">
        <v>45748</v>
      </c>
      <c r="D8" t="s">
        <v>148</v>
      </c>
      <c r="E8" t="s">
        <v>147</v>
      </c>
      <c r="F8" t="s">
        <v>145</v>
      </c>
      <c r="G8" t="s">
        <v>85</v>
      </c>
      <c r="H8" t="s">
        <v>86</v>
      </c>
      <c r="I8" s="7"/>
      <c r="J8" s="7">
        <v>100000</v>
      </c>
      <c r="K8" t="s">
        <v>34</v>
      </c>
    </row>
    <row r="9" spans="1:12" x14ac:dyDescent="0.25">
      <c r="A9" t="s">
        <v>544</v>
      </c>
      <c r="B9" t="s">
        <v>149</v>
      </c>
      <c r="C9" s="6">
        <v>45749</v>
      </c>
      <c r="D9" t="s">
        <v>152</v>
      </c>
      <c r="E9" t="s">
        <v>151</v>
      </c>
      <c r="F9" t="s">
        <v>153</v>
      </c>
      <c r="G9" t="s">
        <v>37</v>
      </c>
      <c r="H9" t="s">
        <v>38</v>
      </c>
      <c r="I9" s="7">
        <v>800000</v>
      </c>
      <c r="J9" s="7"/>
      <c r="K9" t="s">
        <v>34</v>
      </c>
    </row>
    <row r="10" spans="1:12" x14ac:dyDescent="0.25">
      <c r="A10" t="s">
        <v>544</v>
      </c>
      <c r="B10" t="s">
        <v>149</v>
      </c>
      <c r="C10" s="6">
        <v>45749</v>
      </c>
      <c r="D10" t="s">
        <v>152</v>
      </c>
      <c r="E10" t="s">
        <v>151</v>
      </c>
      <c r="F10" t="s">
        <v>153</v>
      </c>
      <c r="G10" t="s">
        <v>35</v>
      </c>
      <c r="H10" t="s">
        <v>36</v>
      </c>
      <c r="I10" s="7"/>
      <c r="J10" s="7">
        <v>800000</v>
      </c>
      <c r="K10" t="s">
        <v>34</v>
      </c>
    </row>
    <row r="11" spans="1:12" x14ac:dyDescent="0.25">
      <c r="A11" t="s">
        <v>545</v>
      </c>
      <c r="B11" t="s">
        <v>154</v>
      </c>
      <c r="C11" s="6">
        <v>45749</v>
      </c>
      <c r="D11" t="s">
        <v>156</v>
      </c>
      <c r="E11" t="s">
        <v>155</v>
      </c>
      <c r="F11" t="s">
        <v>157</v>
      </c>
      <c r="G11" t="s">
        <v>29</v>
      </c>
      <c r="H11" t="s">
        <v>30</v>
      </c>
      <c r="I11" s="7">
        <v>60000</v>
      </c>
      <c r="J11" s="7"/>
      <c r="K11" t="s">
        <v>34</v>
      </c>
    </row>
    <row r="12" spans="1:12" x14ac:dyDescent="0.25">
      <c r="A12" t="s">
        <v>545</v>
      </c>
      <c r="B12" t="s">
        <v>154</v>
      </c>
      <c r="C12" s="6">
        <v>45749</v>
      </c>
      <c r="D12" t="s">
        <v>156</v>
      </c>
      <c r="E12" t="s">
        <v>155</v>
      </c>
      <c r="F12" t="s">
        <v>157</v>
      </c>
      <c r="G12" t="s">
        <v>35</v>
      </c>
      <c r="H12" t="s">
        <v>36</v>
      </c>
      <c r="I12" s="7"/>
      <c r="J12" s="7">
        <v>60000</v>
      </c>
      <c r="K12" t="s">
        <v>34</v>
      </c>
    </row>
    <row r="13" spans="1:12" x14ac:dyDescent="0.25">
      <c r="A13" t="s">
        <v>546</v>
      </c>
      <c r="B13" t="s">
        <v>158</v>
      </c>
      <c r="C13" s="6">
        <v>45750</v>
      </c>
      <c r="D13" t="s">
        <v>162</v>
      </c>
      <c r="E13" t="s">
        <v>160</v>
      </c>
      <c r="F13" t="s">
        <v>57</v>
      </c>
      <c r="G13" t="s">
        <v>55</v>
      </c>
      <c r="H13" t="s">
        <v>56</v>
      </c>
      <c r="I13" s="7">
        <v>150000</v>
      </c>
      <c r="J13" s="7"/>
      <c r="K13" t="s">
        <v>34</v>
      </c>
      <c r="L13">
        <v>18</v>
      </c>
    </row>
    <row r="14" spans="1:12" x14ac:dyDescent="0.25">
      <c r="A14" t="s">
        <v>546</v>
      </c>
      <c r="B14" t="s">
        <v>158</v>
      </c>
      <c r="C14" s="6">
        <v>45750</v>
      </c>
      <c r="D14" t="s">
        <v>162</v>
      </c>
      <c r="E14" t="s">
        <v>160</v>
      </c>
      <c r="F14" t="s">
        <v>57</v>
      </c>
      <c r="G14" t="s">
        <v>49</v>
      </c>
      <c r="H14" t="s">
        <v>50</v>
      </c>
      <c r="I14" s="7">
        <v>27000</v>
      </c>
      <c r="J14" s="7"/>
      <c r="K14" t="s">
        <v>34</v>
      </c>
      <c r="L14">
        <v>18</v>
      </c>
    </row>
    <row r="15" spans="1:12" x14ac:dyDescent="0.25">
      <c r="A15" t="s">
        <v>546</v>
      </c>
      <c r="B15" t="s">
        <v>158</v>
      </c>
      <c r="C15" s="6">
        <v>45750</v>
      </c>
      <c r="D15" t="s">
        <v>162</v>
      </c>
      <c r="E15" t="s">
        <v>160</v>
      </c>
      <c r="F15" t="s">
        <v>57</v>
      </c>
      <c r="G15" t="s">
        <v>35</v>
      </c>
      <c r="H15" t="s">
        <v>36</v>
      </c>
      <c r="I15" s="7"/>
      <c r="J15" s="7">
        <v>177000</v>
      </c>
      <c r="K15" t="s">
        <v>161</v>
      </c>
      <c r="L15">
        <v>18</v>
      </c>
    </row>
    <row r="16" spans="1:12" x14ac:dyDescent="0.25">
      <c r="A16" t="s">
        <v>547</v>
      </c>
      <c r="B16" t="s">
        <v>164</v>
      </c>
      <c r="C16" s="6">
        <v>45751</v>
      </c>
      <c r="D16" t="s">
        <v>167</v>
      </c>
      <c r="E16" t="s">
        <v>165</v>
      </c>
      <c r="F16" t="s">
        <v>57</v>
      </c>
      <c r="G16" t="s">
        <v>62</v>
      </c>
      <c r="H16" t="s">
        <v>63</v>
      </c>
      <c r="I16" s="7">
        <v>120000</v>
      </c>
      <c r="J16" s="7"/>
      <c r="K16" t="s">
        <v>34</v>
      </c>
      <c r="L16">
        <v>18</v>
      </c>
    </row>
    <row r="17" spans="1:12" x14ac:dyDescent="0.25">
      <c r="A17" t="s">
        <v>547</v>
      </c>
      <c r="B17" t="s">
        <v>164</v>
      </c>
      <c r="C17" s="6">
        <v>45751</v>
      </c>
      <c r="D17" t="s">
        <v>167</v>
      </c>
      <c r="E17" t="s">
        <v>165</v>
      </c>
      <c r="F17" t="s">
        <v>57</v>
      </c>
      <c r="G17" t="s">
        <v>49</v>
      </c>
      <c r="H17" t="s">
        <v>50</v>
      </c>
      <c r="I17" s="7">
        <v>21600</v>
      </c>
      <c r="J17" s="7"/>
      <c r="K17" t="s">
        <v>34</v>
      </c>
      <c r="L17">
        <v>18</v>
      </c>
    </row>
    <row r="18" spans="1:12" x14ac:dyDescent="0.25">
      <c r="A18" t="s">
        <v>547</v>
      </c>
      <c r="B18" t="s">
        <v>164</v>
      </c>
      <c r="C18" s="6">
        <v>45751</v>
      </c>
      <c r="D18" t="s">
        <v>167</v>
      </c>
      <c r="E18" t="s">
        <v>165</v>
      </c>
      <c r="F18" t="s">
        <v>57</v>
      </c>
      <c r="G18" t="s">
        <v>37</v>
      </c>
      <c r="H18" t="s">
        <v>38</v>
      </c>
      <c r="I18" s="7"/>
      <c r="J18" s="7">
        <v>141600</v>
      </c>
      <c r="K18" t="s">
        <v>166</v>
      </c>
      <c r="L18">
        <v>18</v>
      </c>
    </row>
    <row r="19" spans="1:12" x14ac:dyDescent="0.25">
      <c r="A19" t="s">
        <v>548</v>
      </c>
      <c r="B19" t="s">
        <v>169</v>
      </c>
      <c r="C19" s="6">
        <v>45752</v>
      </c>
      <c r="D19" t="s">
        <v>173</v>
      </c>
      <c r="E19" t="s">
        <v>171</v>
      </c>
      <c r="F19" t="s">
        <v>174</v>
      </c>
      <c r="G19" t="s">
        <v>35</v>
      </c>
      <c r="H19" t="s">
        <v>36</v>
      </c>
      <c r="I19" s="7">
        <v>800000</v>
      </c>
      <c r="J19" s="7"/>
      <c r="K19" t="s">
        <v>34</v>
      </c>
    </row>
    <row r="20" spans="1:12" x14ac:dyDescent="0.25">
      <c r="A20" t="s">
        <v>548</v>
      </c>
      <c r="B20" t="s">
        <v>169</v>
      </c>
      <c r="C20" s="6">
        <v>45752</v>
      </c>
      <c r="D20" t="s">
        <v>173</v>
      </c>
      <c r="E20" t="s">
        <v>171</v>
      </c>
      <c r="F20" t="s">
        <v>174</v>
      </c>
      <c r="G20" t="s">
        <v>76</v>
      </c>
      <c r="H20" t="s">
        <v>77</v>
      </c>
      <c r="I20" s="7"/>
      <c r="J20" s="7">
        <v>800000</v>
      </c>
      <c r="K20" t="s">
        <v>34</v>
      </c>
    </row>
    <row r="21" spans="1:12" x14ac:dyDescent="0.25">
      <c r="A21" t="s">
        <v>549</v>
      </c>
      <c r="B21" t="s">
        <v>175</v>
      </c>
      <c r="C21" s="6">
        <v>45753</v>
      </c>
      <c r="D21" t="s">
        <v>178</v>
      </c>
      <c r="E21" t="s">
        <v>176</v>
      </c>
      <c r="F21" t="s">
        <v>57</v>
      </c>
      <c r="G21" t="s">
        <v>66</v>
      </c>
      <c r="H21" t="s">
        <v>67</v>
      </c>
      <c r="I21" s="7">
        <v>500000</v>
      </c>
      <c r="J21" s="7"/>
      <c r="K21" t="s">
        <v>34</v>
      </c>
      <c r="L21">
        <v>18</v>
      </c>
    </row>
    <row r="22" spans="1:12" x14ac:dyDescent="0.25">
      <c r="A22" t="s">
        <v>549</v>
      </c>
      <c r="B22" t="s">
        <v>175</v>
      </c>
      <c r="C22" s="6">
        <v>45753</v>
      </c>
      <c r="D22" t="s">
        <v>178</v>
      </c>
      <c r="E22" t="s">
        <v>176</v>
      </c>
      <c r="F22" t="s">
        <v>57</v>
      </c>
      <c r="G22" t="s">
        <v>49</v>
      </c>
      <c r="H22" t="s">
        <v>50</v>
      </c>
      <c r="I22" s="7">
        <v>90000</v>
      </c>
      <c r="J22" s="7"/>
      <c r="K22" t="s">
        <v>34</v>
      </c>
      <c r="L22">
        <v>18</v>
      </c>
    </row>
    <row r="23" spans="1:12" x14ac:dyDescent="0.25">
      <c r="A23" t="s">
        <v>549</v>
      </c>
      <c r="B23" t="s">
        <v>175</v>
      </c>
      <c r="C23" s="6">
        <v>45753</v>
      </c>
      <c r="D23" t="s">
        <v>178</v>
      </c>
      <c r="E23" t="s">
        <v>176</v>
      </c>
      <c r="F23" t="s">
        <v>57</v>
      </c>
      <c r="G23" t="s">
        <v>35</v>
      </c>
      <c r="H23" t="s">
        <v>36</v>
      </c>
      <c r="I23" s="7"/>
      <c r="J23" s="7">
        <v>590000</v>
      </c>
      <c r="K23" t="s">
        <v>177</v>
      </c>
      <c r="L23">
        <v>18</v>
      </c>
    </row>
    <row r="24" spans="1:12" x14ac:dyDescent="0.25">
      <c r="A24" t="s">
        <v>550</v>
      </c>
      <c r="B24" t="s">
        <v>180</v>
      </c>
      <c r="C24" s="6">
        <v>45757</v>
      </c>
      <c r="D24" t="s">
        <v>184</v>
      </c>
      <c r="E24" t="s">
        <v>182</v>
      </c>
      <c r="F24" t="s">
        <v>185</v>
      </c>
      <c r="G24" t="s">
        <v>108</v>
      </c>
      <c r="H24" t="s">
        <v>109</v>
      </c>
      <c r="I24" s="7">
        <v>66000</v>
      </c>
      <c r="J24" s="7"/>
      <c r="K24" t="s">
        <v>34</v>
      </c>
      <c r="L24">
        <v>18</v>
      </c>
    </row>
    <row r="25" spans="1:12" x14ac:dyDescent="0.25">
      <c r="A25" t="s">
        <v>550</v>
      </c>
      <c r="B25" t="s">
        <v>180</v>
      </c>
      <c r="C25" s="6">
        <v>45757</v>
      </c>
      <c r="D25" t="s">
        <v>184</v>
      </c>
      <c r="E25" t="s">
        <v>182</v>
      </c>
      <c r="F25" t="s">
        <v>185</v>
      </c>
      <c r="G25" t="s">
        <v>49</v>
      </c>
      <c r="H25" t="s">
        <v>50</v>
      </c>
      <c r="I25" s="7">
        <v>11880</v>
      </c>
      <c r="J25" s="7"/>
      <c r="K25" t="s">
        <v>34</v>
      </c>
      <c r="L25">
        <v>18</v>
      </c>
    </row>
    <row r="26" spans="1:12" x14ac:dyDescent="0.25">
      <c r="A26" t="s">
        <v>550</v>
      </c>
      <c r="B26" t="s">
        <v>180</v>
      </c>
      <c r="C26" s="6">
        <v>45757</v>
      </c>
      <c r="D26" t="s">
        <v>184</v>
      </c>
      <c r="E26" t="s">
        <v>182</v>
      </c>
      <c r="F26" t="s">
        <v>185</v>
      </c>
      <c r="G26" t="s">
        <v>35</v>
      </c>
      <c r="H26" t="s">
        <v>36</v>
      </c>
      <c r="I26" s="7"/>
      <c r="J26" s="7">
        <v>77880</v>
      </c>
      <c r="K26" t="s">
        <v>183</v>
      </c>
      <c r="L26">
        <v>18</v>
      </c>
    </row>
    <row r="27" spans="1:12" x14ac:dyDescent="0.25">
      <c r="A27" t="s">
        <v>551</v>
      </c>
      <c r="B27" t="s">
        <v>186</v>
      </c>
      <c r="C27" s="6">
        <v>45759</v>
      </c>
      <c r="D27" t="s">
        <v>190</v>
      </c>
      <c r="E27" t="s">
        <v>188</v>
      </c>
      <c r="F27" t="s">
        <v>191</v>
      </c>
      <c r="G27" t="s">
        <v>44</v>
      </c>
      <c r="H27" t="s">
        <v>45</v>
      </c>
      <c r="I27" s="7">
        <v>280000</v>
      </c>
      <c r="J27" s="7"/>
      <c r="K27" t="s">
        <v>34</v>
      </c>
      <c r="L27">
        <v>18</v>
      </c>
    </row>
    <row r="28" spans="1:12" x14ac:dyDescent="0.25">
      <c r="A28" t="s">
        <v>551</v>
      </c>
      <c r="B28" t="s">
        <v>186</v>
      </c>
      <c r="C28" s="6">
        <v>45759</v>
      </c>
      <c r="D28" t="s">
        <v>190</v>
      </c>
      <c r="E28" t="s">
        <v>188</v>
      </c>
      <c r="F28" t="s">
        <v>191</v>
      </c>
      <c r="G28" t="s">
        <v>49</v>
      </c>
      <c r="H28" t="s">
        <v>50</v>
      </c>
      <c r="I28" s="7">
        <v>50400</v>
      </c>
      <c r="J28" s="7"/>
      <c r="K28" t="s">
        <v>34</v>
      </c>
      <c r="L28">
        <v>18</v>
      </c>
    </row>
    <row r="29" spans="1:12" x14ac:dyDescent="0.25">
      <c r="A29" t="s">
        <v>551</v>
      </c>
      <c r="B29" t="s">
        <v>186</v>
      </c>
      <c r="C29" s="6">
        <v>45759</v>
      </c>
      <c r="D29" t="s">
        <v>190</v>
      </c>
      <c r="E29" t="s">
        <v>188</v>
      </c>
      <c r="F29" t="s">
        <v>191</v>
      </c>
      <c r="G29" t="s">
        <v>35</v>
      </c>
      <c r="H29" t="s">
        <v>36</v>
      </c>
      <c r="I29" s="7"/>
      <c r="J29" s="7">
        <v>330400</v>
      </c>
      <c r="K29" t="s">
        <v>189</v>
      </c>
      <c r="L29">
        <v>18</v>
      </c>
    </row>
    <row r="30" spans="1:12" x14ac:dyDescent="0.25">
      <c r="A30" t="s">
        <v>552</v>
      </c>
      <c r="B30" t="s">
        <v>193</v>
      </c>
      <c r="C30" s="6">
        <v>45761</v>
      </c>
      <c r="D30" t="s">
        <v>196</v>
      </c>
      <c r="E30" t="s">
        <v>194</v>
      </c>
      <c r="F30" t="s">
        <v>191</v>
      </c>
      <c r="G30" t="s">
        <v>44</v>
      </c>
      <c r="H30" t="s">
        <v>45</v>
      </c>
      <c r="I30" s="7">
        <v>360000</v>
      </c>
      <c r="J30" s="7"/>
      <c r="K30" t="s">
        <v>34</v>
      </c>
      <c r="L30">
        <v>12</v>
      </c>
    </row>
    <row r="31" spans="1:12" x14ac:dyDescent="0.25">
      <c r="A31" t="s">
        <v>552</v>
      </c>
      <c r="B31" t="s">
        <v>193</v>
      </c>
      <c r="C31" s="6">
        <v>45761</v>
      </c>
      <c r="D31" t="s">
        <v>196</v>
      </c>
      <c r="E31" t="s">
        <v>194</v>
      </c>
      <c r="F31" t="s">
        <v>191</v>
      </c>
      <c r="G31" t="s">
        <v>49</v>
      </c>
      <c r="H31" t="s">
        <v>50</v>
      </c>
      <c r="I31" s="7">
        <v>43200</v>
      </c>
      <c r="J31" s="7"/>
      <c r="K31" t="s">
        <v>34</v>
      </c>
      <c r="L31">
        <v>12</v>
      </c>
    </row>
    <row r="32" spans="1:12" x14ac:dyDescent="0.25">
      <c r="A32" t="s">
        <v>552</v>
      </c>
      <c r="B32" t="s">
        <v>193</v>
      </c>
      <c r="C32" s="6">
        <v>45761</v>
      </c>
      <c r="D32" t="s">
        <v>196</v>
      </c>
      <c r="E32" t="s">
        <v>194</v>
      </c>
      <c r="F32" t="s">
        <v>191</v>
      </c>
      <c r="G32" t="s">
        <v>70</v>
      </c>
      <c r="H32" t="s">
        <v>71</v>
      </c>
      <c r="I32" s="7"/>
      <c r="J32" s="7">
        <v>403200</v>
      </c>
      <c r="K32" t="s">
        <v>195</v>
      </c>
      <c r="L32">
        <v>12</v>
      </c>
    </row>
    <row r="33" spans="1:12" x14ac:dyDescent="0.25">
      <c r="A33" t="s">
        <v>553</v>
      </c>
      <c r="B33" t="s">
        <v>199</v>
      </c>
      <c r="C33" s="6">
        <v>45765</v>
      </c>
      <c r="D33" t="s">
        <v>202</v>
      </c>
      <c r="E33" t="s">
        <v>200</v>
      </c>
      <c r="F33" t="s">
        <v>191</v>
      </c>
      <c r="G33" t="s">
        <v>44</v>
      </c>
      <c r="H33" t="s">
        <v>45</v>
      </c>
      <c r="I33" s="7">
        <v>325000</v>
      </c>
      <c r="J33" s="7"/>
      <c r="K33" t="s">
        <v>34</v>
      </c>
      <c r="L33">
        <v>18</v>
      </c>
    </row>
    <row r="34" spans="1:12" x14ac:dyDescent="0.25">
      <c r="A34" t="s">
        <v>553</v>
      </c>
      <c r="B34" t="s">
        <v>199</v>
      </c>
      <c r="C34" s="6">
        <v>45765</v>
      </c>
      <c r="D34" t="s">
        <v>202</v>
      </c>
      <c r="E34" t="s">
        <v>200</v>
      </c>
      <c r="F34" t="s">
        <v>191</v>
      </c>
      <c r="G34" t="s">
        <v>49</v>
      </c>
      <c r="H34" t="s">
        <v>50</v>
      </c>
      <c r="I34" s="7">
        <v>58500</v>
      </c>
      <c r="J34" s="7"/>
      <c r="K34" t="s">
        <v>34</v>
      </c>
      <c r="L34">
        <v>18</v>
      </c>
    </row>
    <row r="35" spans="1:12" x14ac:dyDescent="0.25">
      <c r="A35" t="s">
        <v>553</v>
      </c>
      <c r="B35" t="s">
        <v>199</v>
      </c>
      <c r="C35" s="6">
        <v>45765</v>
      </c>
      <c r="D35" t="s">
        <v>202</v>
      </c>
      <c r="E35" t="s">
        <v>200</v>
      </c>
      <c r="F35" t="s">
        <v>191</v>
      </c>
      <c r="G35" t="s">
        <v>37</v>
      </c>
      <c r="H35" t="s">
        <v>38</v>
      </c>
      <c r="I35" s="7"/>
      <c r="J35" s="7">
        <v>383500</v>
      </c>
      <c r="K35" t="s">
        <v>201</v>
      </c>
      <c r="L35">
        <v>18</v>
      </c>
    </row>
    <row r="36" spans="1:12" x14ac:dyDescent="0.25">
      <c r="A36" t="s">
        <v>554</v>
      </c>
      <c r="B36" t="s">
        <v>204</v>
      </c>
      <c r="C36" s="6">
        <v>45767</v>
      </c>
      <c r="D36" t="s">
        <v>208</v>
      </c>
      <c r="E36" t="s">
        <v>206</v>
      </c>
      <c r="F36" t="s">
        <v>209</v>
      </c>
      <c r="G36" t="s">
        <v>29</v>
      </c>
      <c r="H36" t="s">
        <v>30</v>
      </c>
      <c r="I36" s="7">
        <v>57820</v>
      </c>
      <c r="J36" s="7"/>
      <c r="K36" t="s">
        <v>207</v>
      </c>
      <c r="L36">
        <v>18</v>
      </c>
    </row>
    <row r="37" spans="1:12" x14ac:dyDescent="0.25">
      <c r="A37" t="s">
        <v>554</v>
      </c>
      <c r="B37" t="s">
        <v>204</v>
      </c>
      <c r="C37" s="6">
        <v>45767</v>
      </c>
      <c r="D37" t="s">
        <v>208</v>
      </c>
      <c r="E37" t="s">
        <v>206</v>
      </c>
      <c r="F37" t="s">
        <v>209</v>
      </c>
      <c r="G37" t="s">
        <v>93</v>
      </c>
      <c r="H37" t="s">
        <v>94</v>
      </c>
      <c r="I37" s="7"/>
      <c r="J37" s="7">
        <v>49000</v>
      </c>
      <c r="K37" t="s">
        <v>34</v>
      </c>
      <c r="L37">
        <v>18</v>
      </c>
    </row>
    <row r="38" spans="1:12" x14ac:dyDescent="0.25">
      <c r="A38" t="s">
        <v>554</v>
      </c>
      <c r="B38" t="s">
        <v>204</v>
      </c>
      <c r="C38" s="6">
        <v>45767</v>
      </c>
      <c r="D38" t="s">
        <v>208</v>
      </c>
      <c r="E38" t="s">
        <v>206</v>
      </c>
      <c r="F38" t="s">
        <v>209</v>
      </c>
      <c r="G38" t="s">
        <v>78</v>
      </c>
      <c r="H38" t="s">
        <v>79</v>
      </c>
      <c r="I38" s="7"/>
      <c r="J38" s="7">
        <v>8820</v>
      </c>
      <c r="K38" t="s">
        <v>34</v>
      </c>
      <c r="L38">
        <v>18</v>
      </c>
    </row>
    <row r="39" spans="1:12" x14ac:dyDescent="0.25">
      <c r="A39" t="s">
        <v>554</v>
      </c>
      <c r="B39" t="s">
        <v>204</v>
      </c>
      <c r="C39" s="6">
        <v>45767</v>
      </c>
      <c r="D39" t="s">
        <v>208</v>
      </c>
      <c r="E39" t="s">
        <v>206</v>
      </c>
      <c r="F39" t="s">
        <v>209</v>
      </c>
      <c r="G39" t="s">
        <v>101</v>
      </c>
      <c r="H39" t="s">
        <v>102</v>
      </c>
      <c r="I39" s="7">
        <v>28000</v>
      </c>
      <c r="J39" s="7"/>
      <c r="K39" t="s">
        <v>34</v>
      </c>
      <c r="L39">
        <v>18</v>
      </c>
    </row>
    <row r="40" spans="1:12" x14ac:dyDescent="0.25">
      <c r="A40" t="s">
        <v>554</v>
      </c>
      <c r="B40" t="s">
        <v>204</v>
      </c>
      <c r="C40" s="6">
        <v>45767</v>
      </c>
      <c r="D40" t="s">
        <v>208</v>
      </c>
      <c r="E40" t="s">
        <v>206</v>
      </c>
      <c r="F40" t="s">
        <v>209</v>
      </c>
      <c r="G40" t="s">
        <v>44</v>
      </c>
      <c r="H40" t="s">
        <v>45</v>
      </c>
      <c r="I40" s="7"/>
      <c r="J40" s="7">
        <v>28000</v>
      </c>
      <c r="K40" t="s">
        <v>34</v>
      </c>
      <c r="L40">
        <v>18</v>
      </c>
    </row>
    <row r="41" spans="1:12" x14ac:dyDescent="0.25">
      <c r="A41" t="s">
        <v>555</v>
      </c>
      <c r="B41" t="s">
        <v>210</v>
      </c>
      <c r="C41" s="6">
        <v>45769</v>
      </c>
      <c r="D41" t="s">
        <v>213</v>
      </c>
      <c r="E41" t="s">
        <v>211</v>
      </c>
      <c r="F41" t="s">
        <v>209</v>
      </c>
      <c r="G41" t="s">
        <v>39</v>
      </c>
      <c r="H41" t="s">
        <v>40</v>
      </c>
      <c r="I41" s="7">
        <v>110880</v>
      </c>
      <c r="J41" s="7"/>
      <c r="K41" t="s">
        <v>212</v>
      </c>
      <c r="L41">
        <v>12</v>
      </c>
    </row>
    <row r="42" spans="1:12" x14ac:dyDescent="0.25">
      <c r="A42" t="s">
        <v>555</v>
      </c>
      <c r="B42" t="s">
        <v>210</v>
      </c>
      <c r="C42" s="6">
        <v>45769</v>
      </c>
      <c r="D42" t="s">
        <v>213</v>
      </c>
      <c r="E42" t="s">
        <v>211</v>
      </c>
      <c r="F42" t="s">
        <v>209</v>
      </c>
      <c r="G42" t="s">
        <v>93</v>
      </c>
      <c r="H42" t="s">
        <v>94</v>
      </c>
      <c r="I42" s="7"/>
      <c r="J42" s="7">
        <v>99000</v>
      </c>
      <c r="K42" t="s">
        <v>34</v>
      </c>
      <c r="L42">
        <v>12</v>
      </c>
    </row>
    <row r="43" spans="1:12" x14ac:dyDescent="0.25">
      <c r="A43" t="s">
        <v>555</v>
      </c>
      <c r="B43" t="s">
        <v>210</v>
      </c>
      <c r="C43" s="6">
        <v>45769</v>
      </c>
      <c r="D43" t="s">
        <v>213</v>
      </c>
      <c r="E43" t="s">
        <v>211</v>
      </c>
      <c r="F43" t="s">
        <v>209</v>
      </c>
      <c r="G43" t="s">
        <v>78</v>
      </c>
      <c r="H43" t="s">
        <v>79</v>
      </c>
      <c r="I43" s="7"/>
      <c r="J43" s="7">
        <v>11880</v>
      </c>
      <c r="K43" t="s">
        <v>34</v>
      </c>
      <c r="L43">
        <v>12</v>
      </c>
    </row>
    <row r="44" spans="1:12" x14ac:dyDescent="0.25">
      <c r="A44" t="s">
        <v>555</v>
      </c>
      <c r="B44" t="s">
        <v>210</v>
      </c>
      <c r="C44" s="6">
        <v>45769</v>
      </c>
      <c r="D44" t="s">
        <v>213</v>
      </c>
      <c r="E44" t="s">
        <v>211</v>
      </c>
      <c r="F44" t="s">
        <v>209</v>
      </c>
      <c r="G44" t="s">
        <v>101</v>
      </c>
      <c r="H44" t="s">
        <v>102</v>
      </c>
      <c r="I44" s="7">
        <v>54000</v>
      </c>
      <c r="J44" s="7"/>
      <c r="K44" t="s">
        <v>34</v>
      </c>
      <c r="L44">
        <v>12</v>
      </c>
    </row>
    <row r="45" spans="1:12" x14ac:dyDescent="0.25">
      <c r="A45" t="s">
        <v>555</v>
      </c>
      <c r="B45" t="s">
        <v>210</v>
      </c>
      <c r="C45" s="6">
        <v>45769</v>
      </c>
      <c r="D45" t="s">
        <v>213</v>
      </c>
      <c r="E45" t="s">
        <v>211</v>
      </c>
      <c r="F45" t="s">
        <v>209</v>
      </c>
      <c r="G45" t="s">
        <v>44</v>
      </c>
      <c r="H45" t="s">
        <v>45</v>
      </c>
      <c r="I45" s="7"/>
      <c r="J45" s="7">
        <v>54000</v>
      </c>
      <c r="K45" t="s">
        <v>34</v>
      </c>
      <c r="L45">
        <v>12</v>
      </c>
    </row>
    <row r="46" spans="1:12" x14ac:dyDescent="0.25">
      <c r="A46" t="s">
        <v>556</v>
      </c>
      <c r="B46" t="s">
        <v>214</v>
      </c>
      <c r="C46" s="6">
        <v>45772</v>
      </c>
      <c r="D46" t="s">
        <v>216</v>
      </c>
      <c r="E46" t="s">
        <v>215</v>
      </c>
      <c r="F46" t="s">
        <v>209</v>
      </c>
      <c r="G46" t="s">
        <v>37</v>
      </c>
      <c r="H46" t="s">
        <v>38</v>
      </c>
      <c r="I46" s="7">
        <v>59000</v>
      </c>
      <c r="J46" s="7"/>
      <c r="K46" t="s">
        <v>207</v>
      </c>
      <c r="L46">
        <v>18</v>
      </c>
    </row>
    <row r="47" spans="1:12" x14ac:dyDescent="0.25">
      <c r="A47" t="s">
        <v>556</v>
      </c>
      <c r="B47" t="s">
        <v>214</v>
      </c>
      <c r="C47" s="6">
        <v>45772</v>
      </c>
      <c r="D47" t="s">
        <v>216</v>
      </c>
      <c r="E47" t="s">
        <v>215</v>
      </c>
      <c r="F47" t="s">
        <v>209</v>
      </c>
      <c r="G47" t="s">
        <v>93</v>
      </c>
      <c r="H47" t="s">
        <v>94</v>
      </c>
      <c r="I47" s="7"/>
      <c r="J47" s="7">
        <v>50000</v>
      </c>
      <c r="K47" t="s">
        <v>34</v>
      </c>
      <c r="L47">
        <v>18</v>
      </c>
    </row>
    <row r="48" spans="1:12" x14ac:dyDescent="0.25">
      <c r="A48" t="s">
        <v>556</v>
      </c>
      <c r="B48" t="s">
        <v>214</v>
      </c>
      <c r="C48" s="6">
        <v>45772</v>
      </c>
      <c r="D48" t="s">
        <v>216</v>
      </c>
      <c r="E48" t="s">
        <v>215</v>
      </c>
      <c r="F48" t="s">
        <v>209</v>
      </c>
      <c r="G48" t="s">
        <v>78</v>
      </c>
      <c r="H48" t="s">
        <v>79</v>
      </c>
      <c r="I48" s="7"/>
      <c r="J48" s="7">
        <v>9000</v>
      </c>
      <c r="K48" t="s">
        <v>34</v>
      </c>
      <c r="L48">
        <v>18</v>
      </c>
    </row>
    <row r="49" spans="1:12" x14ac:dyDescent="0.25">
      <c r="A49" t="s">
        <v>556</v>
      </c>
      <c r="B49" t="s">
        <v>214</v>
      </c>
      <c r="C49" s="6">
        <v>45772</v>
      </c>
      <c r="D49" t="s">
        <v>216</v>
      </c>
      <c r="E49" t="s">
        <v>215</v>
      </c>
      <c r="F49" t="s">
        <v>209</v>
      </c>
      <c r="G49" t="s">
        <v>101</v>
      </c>
      <c r="H49" t="s">
        <v>102</v>
      </c>
      <c r="I49" s="7">
        <v>26000</v>
      </c>
      <c r="J49" s="7"/>
      <c r="K49" t="s">
        <v>34</v>
      </c>
      <c r="L49">
        <v>18</v>
      </c>
    </row>
    <row r="50" spans="1:12" x14ac:dyDescent="0.25">
      <c r="A50" t="s">
        <v>556</v>
      </c>
      <c r="B50" t="s">
        <v>214</v>
      </c>
      <c r="C50" s="6">
        <v>45772</v>
      </c>
      <c r="D50" t="s">
        <v>216</v>
      </c>
      <c r="E50" t="s">
        <v>215</v>
      </c>
      <c r="F50" t="s">
        <v>209</v>
      </c>
      <c r="G50" t="s">
        <v>44</v>
      </c>
      <c r="H50" t="s">
        <v>45</v>
      </c>
      <c r="I50" s="7"/>
      <c r="J50" s="7">
        <v>26000</v>
      </c>
      <c r="K50" t="s">
        <v>34</v>
      </c>
      <c r="L50">
        <v>18</v>
      </c>
    </row>
    <row r="51" spans="1:12" x14ac:dyDescent="0.25">
      <c r="A51" t="s">
        <v>557</v>
      </c>
      <c r="B51" t="s">
        <v>217</v>
      </c>
      <c r="C51" s="6">
        <v>45773</v>
      </c>
      <c r="D51" t="s">
        <v>220</v>
      </c>
      <c r="E51" t="s">
        <v>218</v>
      </c>
      <c r="F51" t="s">
        <v>221</v>
      </c>
      <c r="G51" t="s">
        <v>110</v>
      </c>
      <c r="H51" t="s">
        <v>111</v>
      </c>
      <c r="I51" s="7">
        <v>8500</v>
      </c>
      <c r="J51" s="7"/>
      <c r="K51" t="s">
        <v>34</v>
      </c>
      <c r="L51">
        <v>0</v>
      </c>
    </row>
    <row r="52" spans="1:12" x14ac:dyDescent="0.25">
      <c r="A52" t="s">
        <v>557</v>
      </c>
      <c r="B52" t="s">
        <v>217</v>
      </c>
      <c r="C52" s="6">
        <v>45773</v>
      </c>
      <c r="D52" t="s">
        <v>220</v>
      </c>
      <c r="E52" t="s">
        <v>218</v>
      </c>
      <c r="F52" t="s">
        <v>221</v>
      </c>
      <c r="G52" t="s">
        <v>37</v>
      </c>
      <c r="H52" t="s">
        <v>38</v>
      </c>
      <c r="I52" s="7"/>
      <c r="J52" s="7">
        <v>8500</v>
      </c>
      <c r="K52" t="s">
        <v>219</v>
      </c>
      <c r="L52">
        <v>0</v>
      </c>
    </row>
    <row r="53" spans="1:12" x14ac:dyDescent="0.25">
      <c r="A53" t="s">
        <v>558</v>
      </c>
      <c r="B53" t="s">
        <v>223</v>
      </c>
      <c r="C53" s="6">
        <v>45775</v>
      </c>
      <c r="D53" t="s">
        <v>226</v>
      </c>
      <c r="E53" t="s">
        <v>224</v>
      </c>
      <c r="F53" t="s">
        <v>227</v>
      </c>
      <c r="G53" t="s">
        <v>112</v>
      </c>
      <c r="H53" t="s">
        <v>113</v>
      </c>
      <c r="I53" s="7">
        <v>25000</v>
      </c>
      <c r="J53" s="7"/>
      <c r="K53" t="s">
        <v>34</v>
      </c>
      <c r="L53">
        <v>18</v>
      </c>
    </row>
    <row r="54" spans="1:12" x14ac:dyDescent="0.25">
      <c r="A54" t="s">
        <v>558</v>
      </c>
      <c r="B54" t="s">
        <v>223</v>
      </c>
      <c r="C54" s="6">
        <v>45775</v>
      </c>
      <c r="D54" t="s">
        <v>226</v>
      </c>
      <c r="E54" t="s">
        <v>224</v>
      </c>
      <c r="F54" t="s">
        <v>227</v>
      </c>
      <c r="G54" t="s">
        <v>49</v>
      </c>
      <c r="H54" t="s">
        <v>50</v>
      </c>
      <c r="I54" s="7">
        <v>4500</v>
      </c>
      <c r="J54" s="7"/>
      <c r="K54" t="s">
        <v>34</v>
      </c>
      <c r="L54">
        <v>18</v>
      </c>
    </row>
    <row r="55" spans="1:12" x14ac:dyDescent="0.25">
      <c r="A55" t="s">
        <v>558</v>
      </c>
      <c r="B55" t="s">
        <v>223</v>
      </c>
      <c r="C55" s="6">
        <v>45775</v>
      </c>
      <c r="D55" t="s">
        <v>226</v>
      </c>
      <c r="E55" t="s">
        <v>224</v>
      </c>
      <c r="F55" t="s">
        <v>227</v>
      </c>
      <c r="G55" t="s">
        <v>37</v>
      </c>
      <c r="H55" t="s">
        <v>38</v>
      </c>
      <c r="I55" s="7"/>
      <c r="J55" s="7">
        <v>29500</v>
      </c>
      <c r="K55" t="s">
        <v>225</v>
      </c>
      <c r="L55">
        <v>18</v>
      </c>
    </row>
    <row r="56" spans="1:12" x14ac:dyDescent="0.25">
      <c r="A56" t="s">
        <v>559</v>
      </c>
      <c r="B56" t="s">
        <v>228</v>
      </c>
      <c r="C56" s="6">
        <v>45777</v>
      </c>
      <c r="D56" t="s">
        <v>231</v>
      </c>
      <c r="E56" t="s">
        <v>230</v>
      </c>
      <c r="F56" t="s">
        <v>232</v>
      </c>
      <c r="G56" t="s">
        <v>105</v>
      </c>
      <c r="H56" t="s">
        <v>106</v>
      </c>
      <c r="I56" s="7">
        <v>40000</v>
      </c>
      <c r="J56" s="7"/>
      <c r="K56" t="s">
        <v>34</v>
      </c>
    </row>
    <row r="57" spans="1:12" x14ac:dyDescent="0.25">
      <c r="A57" t="s">
        <v>559</v>
      </c>
      <c r="B57" t="s">
        <v>228</v>
      </c>
      <c r="C57" s="6">
        <v>45777</v>
      </c>
      <c r="D57" t="s">
        <v>231</v>
      </c>
      <c r="E57" t="s">
        <v>230</v>
      </c>
      <c r="F57" t="s">
        <v>232</v>
      </c>
      <c r="G57" t="s">
        <v>74</v>
      </c>
      <c r="H57" t="s">
        <v>75</v>
      </c>
      <c r="I57" s="7"/>
      <c r="J57" s="7">
        <v>37000</v>
      </c>
      <c r="K57" t="s">
        <v>34</v>
      </c>
    </row>
    <row r="58" spans="1:12" x14ac:dyDescent="0.25">
      <c r="A58" t="s">
        <v>559</v>
      </c>
      <c r="B58" t="s">
        <v>228</v>
      </c>
      <c r="C58" s="6">
        <v>45777</v>
      </c>
      <c r="D58" t="s">
        <v>231</v>
      </c>
      <c r="E58" t="s">
        <v>230</v>
      </c>
      <c r="F58" t="s">
        <v>232</v>
      </c>
      <c r="G58" t="s">
        <v>80</v>
      </c>
      <c r="H58" t="s">
        <v>81</v>
      </c>
      <c r="I58" s="7"/>
      <c r="J58" s="7">
        <v>3000</v>
      </c>
      <c r="K58" t="s">
        <v>34</v>
      </c>
    </row>
    <row r="59" spans="1:12" x14ac:dyDescent="0.25">
      <c r="A59" t="s">
        <v>560</v>
      </c>
      <c r="B59" t="s">
        <v>233</v>
      </c>
      <c r="C59" s="6">
        <v>45777</v>
      </c>
      <c r="D59" t="s">
        <v>235</v>
      </c>
      <c r="E59" t="s">
        <v>234</v>
      </c>
      <c r="F59" t="s">
        <v>117</v>
      </c>
      <c r="G59" t="s">
        <v>116</v>
      </c>
      <c r="H59" t="s">
        <v>117</v>
      </c>
      <c r="I59" s="7">
        <v>1000</v>
      </c>
      <c r="J59" s="7"/>
      <c r="K59" t="s">
        <v>34</v>
      </c>
      <c r="L59">
        <v>18</v>
      </c>
    </row>
    <row r="60" spans="1:12" x14ac:dyDescent="0.25">
      <c r="A60" t="s">
        <v>560</v>
      </c>
      <c r="B60" t="s">
        <v>233</v>
      </c>
      <c r="C60" s="6">
        <v>45777</v>
      </c>
      <c r="D60" t="s">
        <v>235</v>
      </c>
      <c r="E60" t="s">
        <v>234</v>
      </c>
      <c r="F60" t="s">
        <v>117</v>
      </c>
      <c r="G60" t="s">
        <v>49</v>
      </c>
      <c r="H60" t="s">
        <v>50</v>
      </c>
      <c r="I60" s="7">
        <v>180</v>
      </c>
      <c r="J60" s="7"/>
      <c r="K60" t="s">
        <v>34</v>
      </c>
      <c r="L60">
        <v>18</v>
      </c>
    </row>
    <row r="61" spans="1:12" x14ac:dyDescent="0.25">
      <c r="A61" t="s">
        <v>560</v>
      </c>
      <c r="B61" t="s">
        <v>233</v>
      </c>
      <c r="C61" s="6">
        <v>45777</v>
      </c>
      <c r="D61" t="s">
        <v>235</v>
      </c>
      <c r="E61" t="s">
        <v>234</v>
      </c>
      <c r="F61" t="s">
        <v>117</v>
      </c>
      <c r="G61" t="s">
        <v>35</v>
      </c>
      <c r="H61" t="s">
        <v>36</v>
      </c>
      <c r="I61" s="7"/>
      <c r="J61" s="7">
        <v>1180</v>
      </c>
      <c r="K61" t="s">
        <v>172</v>
      </c>
      <c r="L61">
        <v>18</v>
      </c>
    </row>
    <row r="62" spans="1:12" x14ac:dyDescent="0.25">
      <c r="A62" t="s">
        <v>561</v>
      </c>
      <c r="B62" t="s">
        <v>236</v>
      </c>
      <c r="C62" s="6">
        <v>45779</v>
      </c>
      <c r="D62" t="s">
        <v>239</v>
      </c>
      <c r="E62" t="s">
        <v>238</v>
      </c>
      <c r="F62" t="s">
        <v>232</v>
      </c>
      <c r="G62" t="s">
        <v>74</v>
      </c>
      <c r="H62" t="s">
        <v>75</v>
      </c>
      <c r="I62" s="7">
        <v>37000</v>
      </c>
      <c r="J62" s="7"/>
      <c r="K62" t="s">
        <v>34</v>
      </c>
    </row>
    <row r="63" spans="1:12" x14ac:dyDescent="0.25">
      <c r="A63" t="s">
        <v>561</v>
      </c>
      <c r="B63" t="s">
        <v>236</v>
      </c>
      <c r="C63" s="6">
        <v>45779</v>
      </c>
      <c r="D63" t="s">
        <v>239</v>
      </c>
      <c r="E63" t="s">
        <v>238</v>
      </c>
      <c r="F63" t="s">
        <v>232</v>
      </c>
      <c r="G63" t="s">
        <v>37</v>
      </c>
      <c r="H63" t="s">
        <v>38</v>
      </c>
      <c r="I63" s="7"/>
      <c r="J63" s="7">
        <v>37000</v>
      </c>
      <c r="K63" t="s">
        <v>34</v>
      </c>
    </row>
    <row r="64" spans="1:12" x14ac:dyDescent="0.25">
      <c r="A64" t="s">
        <v>562</v>
      </c>
      <c r="B64" t="s">
        <v>240</v>
      </c>
      <c r="C64" s="6">
        <v>45784</v>
      </c>
      <c r="D64" t="s">
        <v>242</v>
      </c>
      <c r="E64" t="s">
        <v>241</v>
      </c>
      <c r="F64" t="s">
        <v>232</v>
      </c>
      <c r="G64" t="s">
        <v>80</v>
      </c>
      <c r="H64" t="s">
        <v>81</v>
      </c>
      <c r="I64" s="7">
        <v>3000</v>
      </c>
      <c r="J64" s="7"/>
      <c r="K64" t="s">
        <v>34</v>
      </c>
    </row>
    <row r="65" spans="1:12" x14ac:dyDescent="0.25">
      <c r="A65" t="s">
        <v>562</v>
      </c>
      <c r="B65" t="s">
        <v>240</v>
      </c>
      <c r="C65" s="6">
        <v>45784</v>
      </c>
      <c r="D65" t="s">
        <v>242</v>
      </c>
      <c r="E65" t="s">
        <v>241</v>
      </c>
      <c r="F65" t="s">
        <v>232</v>
      </c>
      <c r="G65" t="s">
        <v>35</v>
      </c>
      <c r="H65" t="s">
        <v>36</v>
      </c>
      <c r="I65" s="7"/>
      <c r="J65" s="7">
        <v>3000</v>
      </c>
      <c r="K65" t="s">
        <v>34</v>
      </c>
    </row>
    <row r="66" spans="1:12" x14ac:dyDescent="0.25">
      <c r="A66" t="s">
        <v>563</v>
      </c>
      <c r="B66" t="s">
        <v>243</v>
      </c>
      <c r="C66" s="6">
        <v>45787</v>
      </c>
      <c r="D66" t="s">
        <v>246</v>
      </c>
      <c r="E66" t="s">
        <v>245</v>
      </c>
      <c r="F66" t="s">
        <v>98</v>
      </c>
      <c r="G66" t="s">
        <v>37</v>
      </c>
      <c r="H66" t="s">
        <v>38</v>
      </c>
      <c r="I66" s="7">
        <v>47200</v>
      </c>
      <c r="J66" s="7"/>
      <c r="K66" t="s">
        <v>212</v>
      </c>
      <c r="L66">
        <v>18</v>
      </c>
    </row>
    <row r="67" spans="1:12" x14ac:dyDescent="0.25">
      <c r="A67" t="s">
        <v>563</v>
      </c>
      <c r="B67" t="s">
        <v>243</v>
      </c>
      <c r="C67" s="6">
        <v>45787</v>
      </c>
      <c r="D67" t="s">
        <v>246</v>
      </c>
      <c r="E67" t="s">
        <v>245</v>
      </c>
      <c r="F67" t="s">
        <v>98</v>
      </c>
      <c r="G67" t="s">
        <v>97</v>
      </c>
      <c r="H67" t="s">
        <v>98</v>
      </c>
      <c r="I67" s="7"/>
      <c r="J67" s="7">
        <v>40000</v>
      </c>
      <c r="K67" t="s">
        <v>34</v>
      </c>
      <c r="L67">
        <v>18</v>
      </c>
    </row>
    <row r="68" spans="1:12" x14ac:dyDescent="0.25">
      <c r="A68" t="s">
        <v>563</v>
      </c>
      <c r="B68" t="s">
        <v>243</v>
      </c>
      <c r="C68" s="6">
        <v>45787</v>
      </c>
      <c r="D68" t="s">
        <v>246</v>
      </c>
      <c r="E68" t="s">
        <v>245</v>
      </c>
      <c r="F68" t="s">
        <v>98</v>
      </c>
      <c r="G68" t="s">
        <v>78</v>
      </c>
      <c r="H68" t="s">
        <v>79</v>
      </c>
      <c r="I68" s="7"/>
      <c r="J68" s="7">
        <v>7200</v>
      </c>
      <c r="K68" t="s">
        <v>34</v>
      </c>
      <c r="L68">
        <v>18</v>
      </c>
    </row>
    <row r="69" spans="1:12" x14ac:dyDescent="0.25">
      <c r="A69" t="s">
        <v>564</v>
      </c>
      <c r="B69" t="s">
        <v>247</v>
      </c>
      <c r="C69" s="6">
        <v>45792</v>
      </c>
      <c r="D69" t="s">
        <v>250</v>
      </c>
      <c r="E69" t="s">
        <v>249</v>
      </c>
      <c r="F69" t="s">
        <v>251</v>
      </c>
      <c r="G69" t="s">
        <v>35</v>
      </c>
      <c r="H69" t="s">
        <v>36</v>
      </c>
      <c r="I69" s="7">
        <v>40000</v>
      </c>
      <c r="J69" s="7"/>
      <c r="K69" t="s">
        <v>212</v>
      </c>
    </row>
    <row r="70" spans="1:12" x14ac:dyDescent="0.25">
      <c r="A70" t="s">
        <v>564</v>
      </c>
      <c r="B70" t="s">
        <v>247</v>
      </c>
      <c r="C70" s="6">
        <v>45792</v>
      </c>
      <c r="D70" t="s">
        <v>250</v>
      </c>
      <c r="E70" t="s">
        <v>249</v>
      </c>
      <c r="F70" t="s">
        <v>251</v>
      </c>
      <c r="G70" t="s">
        <v>39</v>
      </c>
      <c r="H70" t="s">
        <v>40</v>
      </c>
      <c r="I70" s="7"/>
      <c r="J70" s="7">
        <v>40000</v>
      </c>
      <c r="K70" t="s">
        <v>212</v>
      </c>
    </row>
    <row r="71" spans="1:12" x14ac:dyDescent="0.25">
      <c r="A71" t="s">
        <v>565</v>
      </c>
      <c r="B71" t="s">
        <v>252</v>
      </c>
      <c r="C71" s="6">
        <v>45797</v>
      </c>
      <c r="D71" t="s">
        <v>255</v>
      </c>
      <c r="E71" t="s">
        <v>254</v>
      </c>
      <c r="F71" t="s">
        <v>256</v>
      </c>
      <c r="G71" t="s">
        <v>70</v>
      </c>
      <c r="H71" t="s">
        <v>71</v>
      </c>
      <c r="I71" s="7">
        <v>200000</v>
      </c>
      <c r="J71" s="7"/>
      <c r="K71" t="s">
        <v>195</v>
      </c>
    </row>
    <row r="72" spans="1:12" x14ac:dyDescent="0.25">
      <c r="A72" t="s">
        <v>565</v>
      </c>
      <c r="B72" t="s">
        <v>252</v>
      </c>
      <c r="C72" s="6">
        <v>45797</v>
      </c>
      <c r="D72" t="s">
        <v>255</v>
      </c>
      <c r="E72" t="s">
        <v>254</v>
      </c>
      <c r="F72" t="s">
        <v>256</v>
      </c>
      <c r="G72" t="s">
        <v>35</v>
      </c>
      <c r="H72" t="s">
        <v>36</v>
      </c>
      <c r="I72" s="7"/>
      <c r="J72" s="7">
        <v>200000</v>
      </c>
      <c r="K72" t="s">
        <v>195</v>
      </c>
    </row>
    <row r="73" spans="1:12" x14ac:dyDescent="0.25">
      <c r="A73" t="s">
        <v>566</v>
      </c>
      <c r="B73" t="s">
        <v>257</v>
      </c>
      <c r="C73" s="6">
        <v>45799</v>
      </c>
      <c r="D73" t="s">
        <v>260</v>
      </c>
      <c r="E73" t="s">
        <v>258</v>
      </c>
      <c r="F73" t="s">
        <v>209</v>
      </c>
      <c r="G73" t="s">
        <v>39</v>
      </c>
      <c r="H73" t="s">
        <v>40</v>
      </c>
      <c r="I73" s="7">
        <v>86730</v>
      </c>
      <c r="J73" s="7"/>
      <c r="K73" t="s">
        <v>259</v>
      </c>
      <c r="L73">
        <v>18</v>
      </c>
    </row>
    <row r="74" spans="1:12" x14ac:dyDescent="0.25">
      <c r="A74" t="s">
        <v>566</v>
      </c>
      <c r="B74" t="s">
        <v>257</v>
      </c>
      <c r="C74" s="6">
        <v>45799</v>
      </c>
      <c r="D74" t="s">
        <v>260</v>
      </c>
      <c r="E74" t="s">
        <v>258</v>
      </c>
      <c r="F74" t="s">
        <v>209</v>
      </c>
      <c r="G74" t="s">
        <v>93</v>
      </c>
      <c r="H74" t="s">
        <v>94</v>
      </c>
      <c r="I74" s="7"/>
      <c r="J74" s="7">
        <v>73500</v>
      </c>
      <c r="K74" t="s">
        <v>34</v>
      </c>
      <c r="L74">
        <v>18</v>
      </c>
    </row>
    <row r="75" spans="1:12" x14ac:dyDescent="0.25">
      <c r="A75" t="s">
        <v>566</v>
      </c>
      <c r="B75" t="s">
        <v>257</v>
      </c>
      <c r="C75" s="6">
        <v>45799</v>
      </c>
      <c r="D75" t="s">
        <v>260</v>
      </c>
      <c r="E75" t="s">
        <v>258</v>
      </c>
      <c r="F75" t="s">
        <v>209</v>
      </c>
      <c r="G75" t="s">
        <v>78</v>
      </c>
      <c r="H75" t="s">
        <v>79</v>
      </c>
      <c r="I75" s="7"/>
      <c r="J75" s="7">
        <v>13230</v>
      </c>
      <c r="K75" t="s">
        <v>34</v>
      </c>
      <c r="L75">
        <v>18</v>
      </c>
    </row>
    <row r="76" spans="1:12" x14ac:dyDescent="0.25">
      <c r="A76" t="s">
        <v>566</v>
      </c>
      <c r="B76" t="s">
        <v>257</v>
      </c>
      <c r="C76" s="6">
        <v>45799</v>
      </c>
      <c r="D76" t="s">
        <v>260</v>
      </c>
      <c r="E76" t="s">
        <v>258</v>
      </c>
      <c r="F76" t="s">
        <v>209</v>
      </c>
      <c r="G76" t="s">
        <v>101</v>
      </c>
      <c r="H76" t="s">
        <v>102</v>
      </c>
      <c r="I76" s="7">
        <v>42000</v>
      </c>
      <c r="J76" s="7"/>
      <c r="K76" t="s">
        <v>34</v>
      </c>
      <c r="L76">
        <v>18</v>
      </c>
    </row>
    <row r="77" spans="1:12" x14ac:dyDescent="0.25">
      <c r="A77" t="s">
        <v>566</v>
      </c>
      <c r="B77" t="s">
        <v>257</v>
      </c>
      <c r="C77" s="6">
        <v>45799</v>
      </c>
      <c r="D77" t="s">
        <v>260</v>
      </c>
      <c r="E77" t="s">
        <v>258</v>
      </c>
      <c r="F77" t="s">
        <v>209</v>
      </c>
      <c r="G77" t="s">
        <v>44</v>
      </c>
      <c r="H77" t="s">
        <v>45</v>
      </c>
      <c r="I77" s="7"/>
      <c r="J77" s="7">
        <v>42000</v>
      </c>
      <c r="K77" t="s">
        <v>34</v>
      </c>
      <c r="L77">
        <v>18</v>
      </c>
    </row>
    <row r="78" spans="1:12" x14ac:dyDescent="0.25">
      <c r="A78" t="s">
        <v>567</v>
      </c>
      <c r="B78" t="s">
        <v>261</v>
      </c>
      <c r="C78" s="6">
        <v>45802</v>
      </c>
      <c r="D78" t="s">
        <v>263</v>
      </c>
      <c r="E78" t="s">
        <v>262</v>
      </c>
      <c r="F78" t="s">
        <v>209</v>
      </c>
      <c r="G78" t="s">
        <v>37</v>
      </c>
      <c r="H78" t="s">
        <v>38</v>
      </c>
      <c r="I78" s="7">
        <v>147840</v>
      </c>
      <c r="J78" s="7"/>
      <c r="K78" t="s">
        <v>207</v>
      </c>
      <c r="L78">
        <v>12</v>
      </c>
    </row>
    <row r="79" spans="1:12" x14ac:dyDescent="0.25">
      <c r="A79" t="s">
        <v>567</v>
      </c>
      <c r="B79" t="s">
        <v>261</v>
      </c>
      <c r="C79" s="6">
        <v>45802</v>
      </c>
      <c r="D79" t="s">
        <v>263</v>
      </c>
      <c r="E79" t="s">
        <v>262</v>
      </c>
      <c r="F79" t="s">
        <v>209</v>
      </c>
      <c r="G79" t="s">
        <v>93</v>
      </c>
      <c r="H79" t="s">
        <v>94</v>
      </c>
      <c r="I79" s="7"/>
      <c r="J79" s="7">
        <v>132000</v>
      </c>
      <c r="K79" t="s">
        <v>34</v>
      </c>
      <c r="L79">
        <v>12</v>
      </c>
    </row>
    <row r="80" spans="1:12" x14ac:dyDescent="0.25">
      <c r="A80" t="s">
        <v>567</v>
      </c>
      <c r="B80" t="s">
        <v>261</v>
      </c>
      <c r="C80" s="6">
        <v>45802</v>
      </c>
      <c r="D80" t="s">
        <v>263</v>
      </c>
      <c r="E80" t="s">
        <v>262</v>
      </c>
      <c r="F80" t="s">
        <v>209</v>
      </c>
      <c r="G80" t="s">
        <v>78</v>
      </c>
      <c r="H80" t="s">
        <v>79</v>
      </c>
      <c r="I80" s="7"/>
      <c r="J80" s="7">
        <v>15840</v>
      </c>
      <c r="K80" t="s">
        <v>34</v>
      </c>
      <c r="L80">
        <v>12</v>
      </c>
    </row>
    <row r="81" spans="1:12" x14ac:dyDescent="0.25">
      <c r="A81" t="s">
        <v>567</v>
      </c>
      <c r="B81" t="s">
        <v>261</v>
      </c>
      <c r="C81" s="6">
        <v>45802</v>
      </c>
      <c r="D81" t="s">
        <v>263</v>
      </c>
      <c r="E81" t="s">
        <v>262</v>
      </c>
      <c r="F81" t="s">
        <v>209</v>
      </c>
      <c r="G81" t="s">
        <v>101</v>
      </c>
      <c r="H81" t="s">
        <v>102</v>
      </c>
      <c r="I81" s="7">
        <v>72000</v>
      </c>
      <c r="J81" s="7"/>
      <c r="K81" t="s">
        <v>34</v>
      </c>
      <c r="L81">
        <v>12</v>
      </c>
    </row>
    <row r="82" spans="1:12" x14ac:dyDescent="0.25">
      <c r="A82" t="s">
        <v>567</v>
      </c>
      <c r="B82" t="s">
        <v>261</v>
      </c>
      <c r="C82" s="6">
        <v>45802</v>
      </c>
      <c r="D82" t="s">
        <v>263</v>
      </c>
      <c r="E82" t="s">
        <v>262</v>
      </c>
      <c r="F82" t="s">
        <v>209</v>
      </c>
      <c r="G82" t="s">
        <v>44</v>
      </c>
      <c r="H82" t="s">
        <v>45</v>
      </c>
      <c r="I82" s="7"/>
      <c r="J82" s="7">
        <v>72000</v>
      </c>
      <c r="K82" t="s">
        <v>34</v>
      </c>
      <c r="L82">
        <v>12</v>
      </c>
    </row>
    <row r="83" spans="1:12" x14ac:dyDescent="0.25">
      <c r="A83" t="s">
        <v>568</v>
      </c>
      <c r="B83" t="s">
        <v>264</v>
      </c>
      <c r="C83" s="6">
        <v>45808</v>
      </c>
      <c r="D83" t="s">
        <v>266</v>
      </c>
      <c r="E83" t="s">
        <v>265</v>
      </c>
      <c r="F83" t="s">
        <v>232</v>
      </c>
      <c r="G83" t="s">
        <v>105</v>
      </c>
      <c r="H83" t="s">
        <v>106</v>
      </c>
      <c r="I83" s="7">
        <v>40000</v>
      </c>
      <c r="J83" s="7"/>
      <c r="K83" t="s">
        <v>34</v>
      </c>
    </row>
    <row r="84" spans="1:12" x14ac:dyDescent="0.25">
      <c r="A84" t="s">
        <v>568</v>
      </c>
      <c r="B84" t="s">
        <v>264</v>
      </c>
      <c r="C84" s="6">
        <v>45808</v>
      </c>
      <c r="D84" t="s">
        <v>266</v>
      </c>
      <c r="E84" t="s">
        <v>265</v>
      </c>
      <c r="F84" t="s">
        <v>232</v>
      </c>
      <c r="G84" t="s">
        <v>74</v>
      </c>
      <c r="H84" t="s">
        <v>75</v>
      </c>
      <c r="I84" s="7"/>
      <c r="J84" s="7">
        <v>37000</v>
      </c>
      <c r="K84" t="s">
        <v>34</v>
      </c>
    </row>
    <row r="85" spans="1:12" x14ac:dyDescent="0.25">
      <c r="A85" t="s">
        <v>568</v>
      </c>
      <c r="B85" t="s">
        <v>264</v>
      </c>
      <c r="C85" s="6">
        <v>45808</v>
      </c>
      <c r="D85" t="s">
        <v>266</v>
      </c>
      <c r="E85" t="s">
        <v>265</v>
      </c>
      <c r="F85" t="s">
        <v>232</v>
      </c>
      <c r="G85" t="s">
        <v>80</v>
      </c>
      <c r="H85" t="s">
        <v>81</v>
      </c>
      <c r="I85" s="7"/>
      <c r="J85" s="7">
        <v>3000</v>
      </c>
      <c r="K85" t="s">
        <v>34</v>
      </c>
    </row>
    <row r="86" spans="1:12" x14ac:dyDescent="0.25">
      <c r="A86" t="s">
        <v>569</v>
      </c>
      <c r="B86" t="s">
        <v>267</v>
      </c>
      <c r="C86" s="6">
        <v>45808</v>
      </c>
      <c r="D86" t="s">
        <v>269</v>
      </c>
      <c r="E86" t="s">
        <v>268</v>
      </c>
      <c r="F86" t="s">
        <v>117</v>
      </c>
      <c r="G86" t="s">
        <v>116</v>
      </c>
      <c r="H86" t="s">
        <v>117</v>
      </c>
      <c r="I86" s="7">
        <v>1000</v>
      </c>
      <c r="J86" s="7"/>
      <c r="K86" t="s">
        <v>34</v>
      </c>
      <c r="L86">
        <v>18</v>
      </c>
    </row>
    <row r="87" spans="1:12" x14ac:dyDescent="0.25">
      <c r="A87" t="s">
        <v>569</v>
      </c>
      <c r="B87" t="s">
        <v>267</v>
      </c>
      <c r="C87" s="6">
        <v>45808</v>
      </c>
      <c r="D87" t="s">
        <v>269</v>
      </c>
      <c r="E87" t="s">
        <v>268</v>
      </c>
      <c r="F87" t="s">
        <v>117</v>
      </c>
      <c r="G87" t="s">
        <v>49</v>
      </c>
      <c r="H87" t="s">
        <v>50</v>
      </c>
      <c r="I87" s="7">
        <v>180</v>
      </c>
      <c r="J87" s="7"/>
      <c r="K87" t="s">
        <v>34</v>
      </c>
      <c r="L87">
        <v>18</v>
      </c>
    </row>
    <row r="88" spans="1:12" x14ac:dyDescent="0.25">
      <c r="A88" t="s">
        <v>569</v>
      </c>
      <c r="B88" t="s">
        <v>267</v>
      </c>
      <c r="C88" s="6">
        <v>45808</v>
      </c>
      <c r="D88" t="s">
        <v>269</v>
      </c>
      <c r="E88" t="s">
        <v>268</v>
      </c>
      <c r="F88" t="s">
        <v>117</v>
      </c>
      <c r="G88" t="s">
        <v>35</v>
      </c>
      <c r="H88" t="s">
        <v>36</v>
      </c>
      <c r="I88" s="7"/>
      <c r="J88" s="7">
        <v>1180</v>
      </c>
      <c r="K88" t="s">
        <v>172</v>
      </c>
      <c r="L88">
        <v>18</v>
      </c>
    </row>
    <row r="89" spans="1:12" x14ac:dyDescent="0.25">
      <c r="A89" t="s">
        <v>570</v>
      </c>
      <c r="B89" t="s">
        <v>270</v>
      </c>
      <c r="C89" s="6">
        <v>45810</v>
      </c>
      <c r="D89" t="s">
        <v>272</v>
      </c>
      <c r="E89" t="s">
        <v>271</v>
      </c>
      <c r="F89" t="s">
        <v>232</v>
      </c>
      <c r="G89" t="s">
        <v>74</v>
      </c>
      <c r="H89" t="s">
        <v>75</v>
      </c>
      <c r="I89" s="7">
        <v>37000</v>
      </c>
      <c r="J89" s="7"/>
      <c r="K89" t="s">
        <v>34</v>
      </c>
    </row>
    <row r="90" spans="1:12" x14ac:dyDescent="0.25">
      <c r="A90" t="s">
        <v>570</v>
      </c>
      <c r="B90" t="s">
        <v>270</v>
      </c>
      <c r="C90" s="6">
        <v>45810</v>
      </c>
      <c r="D90" t="s">
        <v>272</v>
      </c>
      <c r="E90" t="s">
        <v>271</v>
      </c>
      <c r="F90" t="s">
        <v>232</v>
      </c>
      <c r="G90" t="s">
        <v>37</v>
      </c>
      <c r="H90" t="s">
        <v>38</v>
      </c>
      <c r="I90" s="7"/>
      <c r="J90" s="7">
        <v>37000</v>
      </c>
      <c r="K90" t="s">
        <v>34</v>
      </c>
    </row>
    <row r="91" spans="1:12" x14ac:dyDescent="0.25">
      <c r="A91" t="s">
        <v>571</v>
      </c>
      <c r="B91" t="s">
        <v>273</v>
      </c>
      <c r="C91" s="6">
        <v>45815</v>
      </c>
      <c r="D91" t="s">
        <v>275</v>
      </c>
      <c r="E91" t="s">
        <v>274</v>
      </c>
      <c r="F91" t="s">
        <v>232</v>
      </c>
      <c r="G91" t="s">
        <v>80</v>
      </c>
      <c r="H91" t="s">
        <v>81</v>
      </c>
      <c r="I91" s="7">
        <v>3000</v>
      </c>
      <c r="J91" s="7"/>
      <c r="K91" t="s">
        <v>34</v>
      </c>
    </row>
    <row r="92" spans="1:12" x14ac:dyDescent="0.25">
      <c r="A92" t="s">
        <v>571</v>
      </c>
      <c r="B92" t="s">
        <v>273</v>
      </c>
      <c r="C92" s="6">
        <v>45815</v>
      </c>
      <c r="D92" t="s">
        <v>275</v>
      </c>
      <c r="E92" t="s">
        <v>274</v>
      </c>
      <c r="F92" t="s">
        <v>232</v>
      </c>
      <c r="G92" t="s">
        <v>35</v>
      </c>
      <c r="H92" t="s">
        <v>36</v>
      </c>
      <c r="I92" s="7"/>
      <c r="J92" s="7">
        <v>3000</v>
      </c>
      <c r="K92" t="s">
        <v>34</v>
      </c>
    </row>
    <row r="93" spans="1:12" x14ac:dyDescent="0.25">
      <c r="A93" t="s">
        <v>572</v>
      </c>
      <c r="B93" t="s">
        <v>276</v>
      </c>
      <c r="C93" s="6">
        <v>45818</v>
      </c>
      <c r="D93" t="s">
        <v>278</v>
      </c>
      <c r="E93" t="s">
        <v>277</v>
      </c>
      <c r="F93" t="s">
        <v>191</v>
      </c>
      <c r="G93" t="s">
        <v>44</v>
      </c>
      <c r="H93" t="s">
        <v>45</v>
      </c>
      <c r="I93" s="7">
        <v>145000</v>
      </c>
      <c r="J93" s="7"/>
      <c r="K93" t="s">
        <v>34</v>
      </c>
      <c r="L93">
        <v>18</v>
      </c>
    </row>
    <row r="94" spans="1:12" x14ac:dyDescent="0.25">
      <c r="A94" t="s">
        <v>572</v>
      </c>
      <c r="B94" t="s">
        <v>276</v>
      </c>
      <c r="C94" s="6">
        <v>45818</v>
      </c>
      <c r="D94" t="s">
        <v>278</v>
      </c>
      <c r="E94" t="s">
        <v>277</v>
      </c>
      <c r="F94" t="s">
        <v>191</v>
      </c>
      <c r="G94" t="s">
        <v>49</v>
      </c>
      <c r="H94" t="s">
        <v>50</v>
      </c>
      <c r="I94" s="7">
        <v>26100</v>
      </c>
      <c r="J94" s="7"/>
      <c r="K94" t="s">
        <v>34</v>
      </c>
      <c r="L94">
        <v>18</v>
      </c>
    </row>
    <row r="95" spans="1:12" x14ac:dyDescent="0.25">
      <c r="A95" t="s">
        <v>572</v>
      </c>
      <c r="B95" t="s">
        <v>276</v>
      </c>
      <c r="C95" s="6">
        <v>45818</v>
      </c>
      <c r="D95" t="s">
        <v>278</v>
      </c>
      <c r="E95" t="s">
        <v>277</v>
      </c>
      <c r="F95" t="s">
        <v>191</v>
      </c>
      <c r="G95" t="s">
        <v>70</v>
      </c>
      <c r="H95" t="s">
        <v>71</v>
      </c>
      <c r="I95" s="7"/>
      <c r="J95" s="7">
        <v>171100</v>
      </c>
      <c r="K95" t="s">
        <v>189</v>
      </c>
      <c r="L95">
        <v>18</v>
      </c>
    </row>
    <row r="96" spans="1:12" x14ac:dyDescent="0.25">
      <c r="A96" t="s">
        <v>573</v>
      </c>
      <c r="B96" t="s">
        <v>279</v>
      </c>
      <c r="C96" s="6">
        <v>45820</v>
      </c>
      <c r="D96" t="s">
        <v>283</v>
      </c>
      <c r="E96" t="s">
        <v>281</v>
      </c>
      <c r="F96" t="s">
        <v>53</v>
      </c>
      <c r="G96" t="s">
        <v>52</v>
      </c>
      <c r="H96" t="s">
        <v>53</v>
      </c>
      <c r="I96" s="7">
        <v>150000</v>
      </c>
      <c r="J96" s="7"/>
      <c r="K96" t="s">
        <v>282</v>
      </c>
    </row>
    <row r="97" spans="1:12" x14ac:dyDescent="0.25">
      <c r="A97" t="s">
        <v>573</v>
      </c>
      <c r="B97" t="s">
        <v>279</v>
      </c>
      <c r="C97" s="6">
        <v>45820</v>
      </c>
      <c r="D97" t="s">
        <v>283</v>
      </c>
      <c r="E97" t="s">
        <v>281</v>
      </c>
      <c r="F97" t="s">
        <v>53</v>
      </c>
      <c r="G97" t="s">
        <v>35</v>
      </c>
      <c r="H97" t="s">
        <v>36</v>
      </c>
      <c r="I97" s="7"/>
      <c r="J97" s="7">
        <v>150000</v>
      </c>
      <c r="K97" t="s">
        <v>34</v>
      </c>
    </row>
    <row r="98" spans="1:12" x14ac:dyDescent="0.25">
      <c r="A98" t="s">
        <v>574</v>
      </c>
      <c r="B98" t="s">
        <v>284</v>
      </c>
      <c r="C98" s="6">
        <v>45828</v>
      </c>
      <c r="D98" t="s">
        <v>286</v>
      </c>
      <c r="E98" t="s">
        <v>285</v>
      </c>
      <c r="F98" t="s">
        <v>221</v>
      </c>
      <c r="G98" t="s">
        <v>110</v>
      </c>
      <c r="H98" t="s">
        <v>111</v>
      </c>
      <c r="I98" s="7">
        <v>17000</v>
      </c>
      <c r="J98" s="7"/>
      <c r="K98" t="s">
        <v>34</v>
      </c>
      <c r="L98">
        <v>0</v>
      </c>
    </row>
    <row r="99" spans="1:12" x14ac:dyDescent="0.25">
      <c r="A99" t="s">
        <v>574</v>
      </c>
      <c r="B99" t="s">
        <v>284</v>
      </c>
      <c r="C99" s="6">
        <v>45828</v>
      </c>
      <c r="D99" t="s">
        <v>286</v>
      </c>
      <c r="E99" t="s">
        <v>285</v>
      </c>
      <c r="F99" t="s">
        <v>221</v>
      </c>
      <c r="G99" t="s">
        <v>35</v>
      </c>
      <c r="H99" t="s">
        <v>36</v>
      </c>
      <c r="I99" s="7"/>
      <c r="J99" s="7">
        <v>17000</v>
      </c>
      <c r="K99" t="s">
        <v>219</v>
      </c>
      <c r="L99">
        <v>0</v>
      </c>
    </row>
    <row r="100" spans="1:12" x14ac:dyDescent="0.25">
      <c r="A100" t="s">
        <v>575</v>
      </c>
      <c r="B100" t="s">
        <v>287</v>
      </c>
      <c r="C100" s="6">
        <v>45836</v>
      </c>
      <c r="D100" t="s">
        <v>290</v>
      </c>
      <c r="E100" t="s">
        <v>289</v>
      </c>
      <c r="F100" t="s">
        <v>47</v>
      </c>
      <c r="G100" t="s">
        <v>46</v>
      </c>
      <c r="H100" t="s">
        <v>47</v>
      </c>
      <c r="I100" s="7">
        <v>264000</v>
      </c>
      <c r="J100" s="7"/>
      <c r="K100" t="s">
        <v>34</v>
      </c>
      <c r="L100">
        <v>18</v>
      </c>
    </row>
    <row r="101" spans="1:12" x14ac:dyDescent="0.25">
      <c r="A101" t="s">
        <v>575</v>
      </c>
      <c r="B101" t="s">
        <v>287</v>
      </c>
      <c r="C101" s="6">
        <v>45836</v>
      </c>
      <c r="D101" t="s">
        <v>290</v>
      </c>
      <c r="E101" t="s">
        <v>289</v>
      </c>
      <c r="F101" t="s">
        <v>47</v>
      </c>
      <c r="G101" t="s">
        <v>49</v>
      </c>
      <c r="H101" t="s">
        <v>50</v>
      </c>
      <c r="I101" s="7">
        <v>47520</v>
      </c>
      <c r="J101" s="7"/>
      <c r="K101" t="s">
        <v>34</v>
      </c>
      <c r="L101">
        <v>18</v>
      </c>
    </row>
    <row r="102" spans="1:12" x14ac:dyDescent="0.25">
      <c r="A102" t="s">
        <v>575</v>
      </c>
      <c r="B102" t="s">
        <v>287</v>
      </c>
      <c r="C102" s="6">
        <v>45836</v>
      </c>
      <c r="D102" t="s">
        <v>290</v>
      </c>
      <c r="E102" t="s">
        <v>289</v>
      </c>
      <c r="F102" t="s">
        <v>47</v>
      </c>
      <c r="G102" t="s">
        <v>35</v>
      </c>
      <c r="H102" t="s">
        <v>36</v>
      </c>
      <c r="I102" s="7"/>
      <c r="J102" s="7">
        <v>311520</v>
      </c>
      <c r="K102" t="s">
        <v>183</v>
      </c>
      <c r="L102">
        <v>18</v>
      </c>
    </row>
    <row r="103" spans="1:12" x14ac:dyDescent="0.25">
      <c r="A103" t="s">
        <v>576</v>
      </c>
      <c r="B103" t="s">
        <v>291</v>
      </c>
      <c r="C103" s="6">
        <v>45837</v>
      </c>
      <c r="D103" t="s">
        <v>293</v>
      </c>
      <c r="E103" t="s">
        <v>292</v>
      </c>
      <c r="F103" t="s">
        <v>209</v>
      </c>
      <c r="G103" t="s">
        <v>29</v>
      </c>
      <c r="H103" t="s">
        <v>30</v>
      </c>
      <c r="I103" s="7">
        <v>44250</v>
      </c>
      <c r="J103" s="7"/>
      <c r="K103" t="s">
        <v>207</v>
      </c>
      <c r="L103">
        <v>18</v>
      </c>
    </row>
    <row r="104" spans="1:12" x14ac:dyDescent="0.25">
      <c r="A104" t="s">
        <v>576</v>
      </c>
      <c r="B104" t="s">
        <v>291</v>
      </c>
      <c r="C104" s="6">
        <v>45837</v>
      </c>
      <c r="D104" t="s">
        <v>293</v>
      </c>
      <c r="E104" t="s">
        <v>292</v>
      </c>
      <c r="F104" t="s">
        <v>209</v>
      </c>
      <c r="G104" t="s">
        <v>93</v>
      </c>
      <c r="H104" t="s">
        <v>94</v>
      </c>
      <c r="I104" s="7"/>
      <c r="J104" s="7">
        <v>37500</v>
      </c>
      <c r="K104" t="s">
        <v>34</v>
      </c>
      <c r="L104">
        <v>18</v>
      </c>
    </row>
    <row r="105" spans="1:12" x14ac:dyDescent="0.25">
      <c r="A105" t="s">
        <v>576</v>
      </c>
      <c r="B105" t="s">
        <v>291</v>
      </c>
      <c r="C105" s="6">
        <v>45837</v>
      </c>
      <c r="D105" t="s">
        <v>293</v>
      </c>
      <c r="E105" t="s">
        <v>292</v>
      </c>
      <c r="F105" t="s">
        <v>209</v>
      </c>
      <c r="G105" t="s">
        <v>78</v>
      </c>
      <c r="H105" t="s">
        <v>79</v>
      </c>
      <c r="I105" s="7"/>
      <c r="J105" s="7">
        <v>6750</v>
      </c>
      <c r="K105" t="s">
        <v>34</v>
      </c>
      <c r="L105">
        <v>18</v>
      </c>
    </row>
    <row r="106" spans="1:12" x14ac:dyDescent="0.25">
      <c r="A106" t="s">
        <v>576</v>
      </c>
      <c r="B106" t="s">
        <v>291</v>
      </c>
      <c r="C106" s="6">
        <v>45837</v>
      </c>
      <c r="D106" t="s">
        <v>293</v>
      </c>
      <c r="E106" t="s">
        <v>292</v>
      </c>
      <c r="F106" t="s">
        <v>209</v>
      </c>
      <c r="G106" t="s">
        <v>101</v>
      </c>
      <c r="H106" t="s">
        <v>102</v>
      </c>
      <c r="I106" s="7">
        <v>19500</v>
      </c>
      <c r="J106" s="7"/>
      <c r="K106" t="s">
        <v>34</v>
      </c>
      <c r="L106">
        <v>18</v>
      </c>
    </row>
    <row r="107" spans="1:12" x14ac:dyDescent="0.25">
      <c r="A107" t="s">
        <v>576</v>
      </c>
      <c r="B107" t="s">
        <v>291</v>
      </c>
      <c r="C107" s="6">
        <v>45837</v>
      </c>
      <c r="D107" t="s">
        <v>293</v>
      </c>
      <c r="E107" t="s">
        <v>292</v>
      </c>
      <c r="F107" t="s">
        <v>209</v>
      </c>
      <c r="G107" t="s">
        <v>44</v>
      </c>
      <c r="H107" t="s">
        <v>45</v>
      </c>
      <c r="I107" s="7"/>
      <c r="J107" s="7">
        <v>19500</v>
      </c>
      <c r="K107" t="s">
        <v>34</v>
      </c>
      <c r="L107">
        <v>18</v>
      </c>
    </row>
    <row r="108" spans="1:12" x14ac:dyDescent="0.25">
      <c r="A108" t="s">
        <v>577</v>
      </c>
      <c r="B108" t="s">
        <v>294</v>
      </c>
      <c r="C108" s="6">
        <v>45838</v>
      </c>
      <c r="D108" t="s">
        <v>296</v>
      </c>
      <c r="E108" t="s">
        <v>295</v>
      </c>
      <c r="F108" t="s">
        <v>251</v>
      </c>
      <c r="G108" t="s">
        <v>37</v>
      </c>
      <c r="H108" t="s">
        <v>38</v>
      </c>
      <c r="I108" s="7">
        <v>86730</v>
      </c>
      <c r="J108" s="7"/>
      <c r="K108" t="s">
        <v>259</v>
      </c>
    </row>
    <row r="109" spans="1:12" x14ac:dyDescent="0.25">
      <c r="A109" t="s">
        <v>577</v>
      </c>
      <c r="B109" t="s">
        <v>294</v>
      </c>
      <c r="C109" s="6">
        <v>45838</v>
      </c>
      <c r="D109" t="s">
        <v>296</v>
      </c>
      <c r="E109" t="s">
        <v>295</v>
      </c>
      <c r="F109" t="s">
        <v>251</v>
      </c>
      <c r="G109" t="s">
        <v>39</v>
      </c>
      <c r="H109" t="s">
        <v>40</v>
      </c>
      <c r="I109" s="7"/>
      <c r="J109" s="7">
        <v>86730</v>
      </c>
      <c r="K109" t="s">
        <v>259</v>
      </c>
    </row>
    <row r="110" spans="1:12" x14ac:dyDescent="0.25">
      <c r="A110" t="s">
        <v>578</v>
      </c>
      <c r="B110" t="s">
        <v>297</v>
      </c>
      <c r="C110" s="6">
        <v>45838</v>
      </c>
      <c r="D110" t="s">
        <v>299</v>
      </c>
      <c r="E110" t="s">
        <v>298</v>
      </c>
      <c r="F110" t="s">
        <v>232</v>
      </c>
      <c r="G110" t="s">
        <v>105</v>
      </c>
      <c r="H110" t="s">
        <v>106</v>
      </c>
      <c r="I110" s="7">
        <v>40000</v>
      </c>
      <c r="J110" s="7"/>
      <c r="K110" t="s">
        <v>34</v>
      </c>
    </row>
    <row r="111" spans="1:12" x14ac:dyDescent="0.25">
      <c r="A111" t="s">
        <v>578</v>
      </c>
      <c r="B111" t="s">
        <v>297</v>
      </c>
      <c r="C111" s="6">
        <v>45838</v>
      </c>
      <c r="D111" t="s">
        <v>299</v>
      </c>
      <c r="E111" t="s">
        <v>298</v>
      </c>
      <c r="F111" t="s">
        <v>232</v>
      </c>
      <c r="G111" t="s">
        <v>74</v>
      </c>
      <c r="H111" t="s">
        <v>75</v>
      </c>
      <c r="I111" s="7"/>
      <c r="J111" s="7">
        <v>37000</v>
      </c>
      <c r="K111" t="s">
        <v>34</v>
      </c>
    </row>
    <row r="112" spans="1:12" x14ac:dyDescent="0.25">
      <c r="A112" t="s">
        <v>578</v>
      </c>
      <c r="B112" t="s">
        <v>297</v>
      </c>
      <c r="C112" s="6">
        <v>45838</v>
      </c>
      <c r="D112" t="s">
        <v>299</v>
      </c>
      <c r="E112" t="s">
        <v>298</v>
      </c>
      <c r="F112" t="s">
        <v>232</v>
      </c>
      <c r="G112" t="s">
        <v>80</v>
      </c>
      <c r="H112" t="s">
        <v>81</v>
      </c>
      <c r="I112" s="7"/>
      <c r="J112" s="7">
        <v>3000</v>
      </c>
      <c r="K112" t="s">
        <v>34</v>
      </c>
    </row>
    <row r="113" spans="1:12" x14ac:dyDescent="0.25">
      <c r="A113" t="s">
        <v>579</v>
      </c>
      <c r="B113" t="s">
        <v>300</v>
      </c>
      <c r="C113" s="6">
        <v>45838</v>
      </c>
      <c r="D113" t="s">
        <v>303</v>
      </c>
      <c r="E113" t="s">
        <v>302</v>
      </c>
      <c r="F113" t="s">
        <v>304</v>
      </c>
      <c r="G113" t="s">
        <v>114</v>
      </c>
      <c r="H113" t="s">
        <v>115</v>
      </c>
      <c r="I113" s="7">
        <v>24945.2</v>
      </c>
      <c r="J113" s="7"/>
      <c r="K113" t="s">
        <v>34</v>
      </c>
    </row>
    <row r="114" spans="1:12" x14ac:dyDescent="0.25">
      <c r="A114" t="s">
        <v>579</v>
      </c>
      <c r="B114" t="s">
        <v>300</v>
      </c>
      <c r="C114" s="6">
        <v>45838</v>
      </c>
      <c r="D114" t="s">
        <v>303</v>
      </c>
      <c r="E114" t="s">
        <v>302</v>
      </c>
      <c r="F114" t="s">
        <v>304</v>
      </c>
      <c r="G114" t="s">
        <v>58</v>
      </c>
      <c r="H114" t="s">
        <v>59</v>
      </c>
      <c r="I114" s="7"/>
      <c r="J114" s="7">
        <v>3413.7</v>
      </c>
      <c r="K114" t="s">
        <v>34</v>
      </c>
    </row>
    <row r="115" spans="1:12" x14ac:dyDescent="0.25">
      <c r="A115" t="s">
        <v>579</v>
      </c>
      <c r="B115" t="s">
        <v>300</v>
      </c>
      <c r="C115" s="6">
        <v>45838</v>
      </c>
      <c r="D115" t="s">
        <v>303</v>
      </c>
      <c r="E115" t="s">
        <v>302</v>
      </c>
      <c r="F115" t="s">
        <v>304</v>
      </c>
      <c r="G115" t="s">
        <v>64</v>
      </c>
      <c r="H115" t="s">
        <v>65</v>
      </c>
      <c r="I115" s="7"/>
      <c r="J115" s="7">
        <v>9161.64</v>
      </c>
      <c r="K115" t="s">
        <v>34</v>
      </c>
    </row>
    <row r="116" spans="1:12" x14ac:dyDescent="0.25">
      <c r="A116" t="s">
        <v>579</v>
      </c>
      <c r="B116" t="s">
        <v>300</v>
      </c>
      <c r="C116" s="6">
        <v>45838</v>
      </c>
      <c r="D116" t="s">
        <v>303</v>
      </c>
      <c r="E116" t="s">
        <v>302</v>
      </c>
      <c r="F116" t="s">
        <v>304</v>
      </c>
      <c r="G116" t="s">
        <v>68</v>
      </c>
      <c r="H116" t="s">
        <v>69</v>
      </c>
      <c r="I116" s="7"/>
      <c r="J116" s="7">
        <v>12369.86</v>
      </c>
      <c r="K116" t="s">
        <v>34</v>
      </c>
    </row>
    <row r="117" spans="1:12" x14ac:dyDescent="0.25">
      <c r="A117" t="s">
        <v>580</v>
      </c>
      <c r="B117" t="s">
        <v>305</v>
      </c>
      <c r="C117" s="6">
        <v>45838</v>
      </c>
      <c r="D117" t="s">
        <v>308</v>
      </c>
      <c r="E117" t="s">
        <v>307</v>
      </c>
      <c r="F117" t="s">
        <v>100</v>
      </c>
      <c r="G117" t="s">
        <v>35</v>
      </c>
      <c r="H117" t="s">
        <v>36</v>
      </c>
      <c r="I117" s="7">
        <v>3100</v>
      </c>
      <c r="J117" s="7"/>
      <c r="K117" t="s">
        <v>34</v>
      </c>
    </row>
    <row r="118" spans="1:12" x14ac:dyDescent="0.25">
      <c r="A118" t="s">
        <v>580</v>
      </c>
      <c r="B118" t="s">
        <v>305</v>
      </c>
      <c r="C118" s="6">
        <v>45838</v>
      </c>
      <c r="D118" t="s">
        <v>308</v>
      </c>
      <c r="E118" t="s">
        <v>307</v>
      </c>
      <c r="F118" t="s">
        <v>100</v>
      </c>
      <c r="G118" t="s">
        <v>99</v>
      </c>
      <c r="H118" t="s">
        <v>100</v>
      </c>
      <c r="I118" s="7"/>
      <c r="J118" s="7">
        <v>3100</v>
      </c>
      <c r="K118" t="s">
        <v>34</v>
      </c>
    </row>
    <row r="119" spans="1:12" x14ac:dyDescent="0.25">
      <c r="A119" t="s">
        <v>581</v>
      </c>
      <c r="B119" t="s">
        <v>309</v>
      </c>
      <c r="C119" s="6">
        <v>45840</v>
      </c>
      <c r="D119" t="s">
        <v>311</v>
      </c>
      <c r="E119" t="s">
        <v>310</v>
      </c>
      <c r="F119" t="s">
        <v>232</v>
      </c>
      <c r="G119" t="s">
        <v>74</v>
      </c>
      <c r="H119" t="s">
        <v>75</v>
      </c>
      <c r="I119" s="7">
        <v>37000</v>
      </c>
      <c r="J119" s="7"/>
      <c r="K119" t="s">
        <v>34</v>
      </c>
    </row>
    <row r="120" spans="1:12" x14ac:dyDescent="0.25">
      <c r="A120" t="s">
        <v>581</v>
      </c>
      <c r="B120" t="s">
        <v>309</v>
      </c>
      <c r="C120" s="6">
        <v>45840</v>
      </c>
      <c r="D120" t="s">
        <v>311</v>
      </c>
      <c r="E120" t="s">
        <v>310</v>
      </c>
      <c r="F120" t="s">
        <v>232</v>
      </c>
      <c r="G120" t="s">
        <v>37</v>
      </c>
      <c r="H120" t="s">
        <v>38</v>
      </c>
      <c r="I120" s="7"/>
      <c r="J120" s="7">
        <v>37000</v>
      </c>
      <c r="K120" t="s">
        <v>34</v>
      </c>
    </row>
    <row r="121" spans="1:12" x14ac:dyDescent="0.25">
      <c r="A121" t="s">
        <v>582</v>
      </c>
      <c r="B121" t="s">
        <v>312</v>
      </c>
      <c r="C121" s="6">
        <v>45848</v>
      </c>
      <c r="D121" t="s">
        <v>314</v>
      </c>
      <c r="E121" t="s">
        <v>313</v>
      </c>
      <c r="F121" t="s">
        <v>209</v>
      </c>
      <c r="G121" t="s">
        <v>39</v>
      </c>
      <c r="H121" t="s">
        <v>40</v>
      </c>
      <c r="I121" s="7">
        <v>147500</v>
      </c>
      <c r="J121" s="7"/>
      <c r="K121" t="s">
        <v>212</v>
      </c>
      <c r="L121">
        <v>18</v>
      </c>
    </row>
    <row r="122" spans="1:12" x14ac:dyDescent="0.25">
      <c r="A122" t="s">
        <v>582</v>
      </c>
      <c r="B122" t="s">
        <v>312</v>
      </c>
      <c r="C122" s="6">
        <v>45848</v>
      </c>
      <c r="D122" t="s">
        <v>314</v>
      </c>
      <c r="E122" t="s">
        <v>313</v>
      </c>
      <c r="F122" t="s">
        <v>209</v>
      </c>
      <c r="G122" t="s">
        <v>93</v>
      </c>
      <c r="H122" t="s">
        <v>94</v>
      </c>
      <c r="I122" s="7"/>
      <c r="J122" s="7">
        <v>125000</v>
      </c>
      <c r="K122" t="s">
        <v>34</v>
      </c>
      <c r="L122">
        <v>18</v>
      </c>
    </row>
    <row r="123" spans="1:12" x14ac:dyDescent="0.25">
      <c r="A123" t="s">
        <v>582</v>
      </c>
      <c r="B123" t="s">
        <v>312</v>
      </c>
      <c r="C123" s="6">
        <v>45848</v>
      </c>
      <c r="D123" t="s">
        <v>314</v>
      </c>
      <c r="E123" t="s">
        <v>313</v>
      </c>
      <c r="F123" t="s">
        <v>209</v>
      </c>
      <c r="G123" t="s">
        <v>78</v>
      </c>
      <c r="H123" t="s">
        <v>79</v>
      </c>
      <c r="I123" s="7"/>
      <c r="J123" s="7">
        <v>22500</v>
      </c>
      <c r="K123" t="s">
        <v>34</v>
      </c>
      <c r="L123">
        <v>18</v>
      </c>
    </row>
    <row r="124" spans="1:12" x14ac:dyDescent="0.25">
      <c r="A124" t="s">
        <v>582</v>
      </c>
      <c r="B124" t="s">
        <v>312</v>
      </c>
      <c r="C124" s="6">
        <v>45848</v>
      </c>
      <c r="D124" t="s">
        <v>314</v>
      </c>
      <c r="E124" t="s">
        <v>313</v>
      </c>
      <c r="F124" t="s">
        <v>209</v>
      </c>
      <c r="G124" t="s">
        <v>101</v>
      </c>
      <c r="H124" t="s">
        <v>102</v>
      </c>
      <c r="I124" s="7">
        <v>65000</v>
      </c>
      <c r="J124" s="7"/>
      <c r="K124" t="s">
        <v>34</v>
      </c>
      <c r="L124">
        <v>18</v>
      </c>
    </row>
    <row r="125" spans="1:12" x14ac:dyDescent="0.25">
      <c r="A125" t="s">
        <v>582</v>
      </c>
      <c r="B125" t="s">
        <v>312</v>
      </c>
      <c r="C125" s="6">
        <v>45848</v>
      </c>
      <c r="D125" t="s">
        <v>314</v>
      </c>
      <c r="E125" t="s">
        <v>313</v>
      </c>
      <c r="F125" t="s">
        <v>209</v>
      </c>
      <c r="G125" t="s">
        <v>44</v>
      </c>
      <c r="H125" t="s">
        <v>45</v>
      </c>
      <c r="I125" s="7"/>
      <c r="J125" s="7">
        <v>65000</v>
      </c>
      <c r="K125" t="s">
        <v>34</v>
      </c>
      <c r="L125">
        <v>18</v>
      </c>
    </row>
    <row r="126" spans="1:12" x14ac:dyDescent="0.25">
      <c r="A126" t="s">
        <v>583</v>
      </c>
      <c r="B126" t="s">
        <v>315</v>
      </c>
      <c r="C126" s="6">
        <v>45853</v>
      </c>
      <c r="D126" t="s">
        <v>317</v>
      </c>
      <c r="E126" t="s">
        <v>316</v>
      </c>
      <c r="F126" t="s">
        <v>227</v>
      </c>
      <c r="G126" t="s">
        <v>112</v>
      </c>
      <c r="H126" t="s">
        <v>113</v>
      </c>
      <c r="I126" s="7">
        <v>40000</v>
      </c>
      <c r="J126" s="7"/>
      <c r="K126" t="s">
        <v>34</v>
      </c>
      <c r="L126">
        <v>18</v>
      </c>
    </row>
    <row r="127" spans="1:12" x14ac:dyDescent="0.25">
      <c r="A127" t="s">
        <v>583</v>
      </c>
      <c r="B127" t="s">
        <v>315</v>
      </c>
      <c r="C127" s="6">
        <v>45853</v>
      </c>
      <c r="D127" t="s">
        <v>317</v>
      </c>
      <c r="E127" t="s">
        <v>316</v>
      </c>
      <c r="F127" t="s">
        <v>227</v>
      </c>
      <c r="G127" t="s">
        <v>49</v>
      </c>
      <c r="H127" t="s">
        <v>50</v>
      </c>
      <c r="I127" s="7">
        <v>7200</v>
      </c>
      <c r="J127" s="7"/>
      <c r="K127" t="s">
        <v>34</v>
      </c>
      <c r="L127">
        <v>18</v>
      </c>
    </row>
    <row r="128" spans="1:12" x14ac:dyDescent="0.25">
      <c r="A128" t="s">
        <v>583</v>
      </c>
      <c r="B128" t="s">
        <v>315</v>
      </c>
      <c r="C128" s="6">
        <v>45853</v>
      </c>
      <c r="D128" t="s">
        <v>317</v>
      </c>
      <c r="E128" t="s">
        <v>316</v>
      </c>
      <c r="F128" t="s">
        <v>227</v>
      </c>
      <c r="G128" t="s">
        <v>37</v>
      </c>
      <c r="H128" t="s">
        <v>38</v>
      </c>
      <c r="I128" s="7"/>
      <c r="J128" s="7">
        <v>47200</v>
      </c>
      <c r="K128" t="s">
        <v>225</v>
      </c>
      <c r="L128">
        <v>18</v>
      </c>
    </row>
    <row r="129" spans="1:12" x14ac:dyDescent="0.25">
      <c r="A129" t="s">
        <v>584</v>
      </c>
      <c r="B129" t="s">
        <v>318</v>
      </c>
      <c r="C129" s="6">
        <v>45858</v>
      </c>
      <c r="D129" t="s">
        <v>321</v>
      </c>
      <c r="E129" t="s">
        <v>320</v>
      </c>
      <c r="F129" t="s">
        <v>322</v>
      </c>
      <c r="G129" t="s">
        <v>78</v>
      </c>
      <c r="H129" t="s">
        <v>79</v>
      </c>
      <c r="I129" s="7">
        <v>95220</v>
      </c>
      <c r="J129" s="7"/>
      <c r="K129" t="s">
        <v>34</v>
      </c>
    </row>
    <row r="130" spans="1:12" x14ac:dyDescent="0.25">
      <c r="A130" t="s">
        <v>584</v>
      </c>
      <c r="B130" t="s">
        <v>318</v>
      </c>
      <c r="C130" s="6">
        <v>45858</v>
      </c>
      <c r="D130" t="s">
        <v>321</v>
      </c>
      <c r="E130" t="s">
        <v>320</v>
      </c>
      <c r="F130" t="s">
        <v>322</v>
      </c>
      <c r="G130" t="s">
        <v>49</v>
      </c>
      <c r="H130" t="s">
        <v>50</v>
      </c>
      <c r="I130" s="7"/>
      <c r="J130" s="7">
        <v>95220</v>
      </c>
      <c r="K130" t="s">
        <v>34</v>
      </c>
    </row>
    <row r="131" spans="1:12" x14ac:dyDescent="0.25">
      <c r="A131" t="s">
        <v>585</v>
      </c>
      <c r="B131" t="s">
        <v>323</v>
      </c>
      <c r="C131" s="6">
        <v>45863</v>
      </c>
      <c r="D131" t="s">
        <v>325</v>
      </c>
      <c r="E131" t="s">
        <v>324</v>
      </c>
      <c r="F131" t="s">
        <v>256</v>
      </c>
      <c r="G131" t="s">
        <v>70</v>
      </c>
      <c r="H131" t="s">
        <v>71</v>
      </c>
      <c r="I131" s="7">
        <v>171100</v>
      </c>
      <c r="J131" s="7"/>
      <c r="K131" t="s">
        <v>189</v>
      </c>
    </row>
    <row r="132" spans="1:12" x14ac:dyDescent="0.25">
      <c r="A132" t="s">
        <v>585</v>
      </c>
      <c r="B132" t="s">
        <v>323</v>
      </c>
      <c r="C132" s="6">
        <v>45863</v>
      </c>
      <c r="D132" t="s">
        <v>325</v>
      </c>
      <c r="E132" t="s">
        <v>324</v>
      </c>
      <c r="F132" t="s">
        <v>256</v>
      </c>
      <c r="G132" t="s">
        <v>35</v>
      </c>
      <c r="H132" t="s">
        <v>36</v>
      </c>
      <c r="I132" s="7"/>
      <c r="J132" s="7">
        <v>171100</v>
      </c>
      <c r="K132" t="s">
        <v>189</v>
      </c>
    </row>
    <row r="133" spans="1:12" x14ac:dyDescent="0.25">
      <c r="A133" t="s">
        <v>586</v>
      </c>
      <c r="B133" t="s">
        <v>326</v>
      </c>
      <c r="C133" s="6">
        <v>45869</v>
      </c>
      <c r="D133" t="s">
        <v>328</v>
      </c>
      <c r="E133" t="s">
        <v>327</v>
      </c>
      <c r="F133" t="s">
        <v>209</v>
      </c>
      <c r="G133" t="s">
        <v>35</v>
      </c>
      <c r="H133" t="s">
        <v>36</v>
      </c>
      <c r="I133" s="7">
        <v>115640</v>
      </c>
      <c r="J133" s="7"/>
      <c r="K133" t="s">
        <v>207</v>
      </c>
      <c r="L133">
        <v>18</v>
      </c>
    </row>
    <row r="134" spans="1:12" x14ac:dyDescent="0.25">
      <c r="A134" t="s">
        <v>586</v>
      </c>
      <c r="B134" t="s">
        <v>326</v>
      </c>
      <c r="C134" s="6">
        <v>45869</v>
      </c>
      <c r="D134" t="s">
        <v>328</v>
      </c>
      <c r="E134" t="s">
        <v>327</v>
      </c>
      <c r="F134" t="s">
        <v>209</v>
      </c>
      <c r="G134" t="s">
        <v>93</v>
      </c>
      <c r="H134" t="s">
        <v>94</v>
      </c>
      <c r="I134" s="7"/>
      <c r="J134" s="7">
        <v>98000</v>
      </c>
      <c r="K134" t="s">
        <v>34</v>
      </c>
      <c r="L134">
        <v>18</v>
      </c>
    </row>
    <row r="135" spans="1:12" x14ac:dyDescent="0.25">
      <c r="A135" t="s">
        <v>586</v>
      </c>
      <c r="B135" t="s">
        <v>326</v>
      </c>
      <c r="C135" s="6">
        <v>45869</v>
      </c>
      <c r="D135" t="s">
        <v>328</v>
      </c>
      <c r="E135" t="s">
        <v>327</v>
      </c>
      <c r="F135" t="s">
        <v>209</v>
      </c>
      <c r="G135" t="s">
        <v>78</v>
      </c>
      <c r="H135" t="s">
        <v>79</v>
      </c>
      <c r="I135" s="7"/>
      <c r="J135" s="7">
        <v>17640</v>
      </c>
      <c r="K135" t="s">
        <v>34</v>
      </c>
      <c r="L135">
        <v>18</v>
      </c>
    </row>
    <row r="136" spans="1:12" x14ac:dyDescent="0.25">
      <c r="A136" t="s">
        <v>586</v>
      </c>
      <c r="B136" t="s">
        <v>326</v>
      </c>
      <c r="C136" s="6">
        <v>45869</v>
      </c>
      <c r="D136" t="s">
        <v>328</v>
      </c>
      <c r="E136" t="s">
        <v>327</v>
      </c>
      <c r="F136" t="s">
        <v>209</v>
      </c>
      <c r="G136" t="s">
        <v>101</v>
      </c>
      <c r="H136" t="s">
        <v>102</v>
      </c>
      <c r="I136" s="7">
        <v>56800</v>
      </c>
      <c r="J136" s="7"/>
      <c r="K136" t="s">
        <v>34</v>
      </c>
      <c r="L136">
        <v>18</v>
      </c>
    </row>
    <row r="137" spans="1:12" x14ac:dyDescent="0.25">
      <c r="A137" t="s">
        <v>586</v>
      </c>
      <c r="B137" t="s">
        <v>326</v>
      </c>
      <c r="C137" s="6">
        <v>45869</v>
      </c>
      <c r="D137" t="s">
        <v>328</v>
      </c>
      <c r="E137" t="s">
        <v>327</v>
      </c>
      <c r="F137" t="s">
        <v>209</v>
      </c>
      <c r="G137" t="s">
        <v>44</v>
      </c>
      <c r="H137" t="s">
        <v>45</v>
      </c>
      <c r="I137" s="7"/>
      <c r="J137" s="7">
        <v>56800</v>
      </c>
      <c r="K137" t="s">
        <v>34</v>
      </c>
      <c r="L137">
        <v>18</v>
      </c>
    </row>
    <row r="138" spans="1:12" x14ac:dyDescent="0.25">
      <c r="A138" t="s">
        <v>587</v>
      </c>
      <c r="B138" t="s">
        <v>329</v>
      </c>
      <c r="C138" s="6">
        <v>45869</v>
      </c>
      <c r="D138" t="s">
        <v>331</v>
      </c>
      <c r="E138" t="s">
        <v>330</v>
      </c>
      <c r="F138" t="s">
        <v>232</v>
      </c>
      <c r="G138" t="s">
        <v>105</v>
      </c>
      <c r="H138" t="s">
        <v>106</v>
      </c>
      <c r="I138" s="7">
        <v>40000</v>
      </c>
      <c r="J138" s="7"/>
      <c r="K138" t="s">
        <v>34</v>
      </c>
    </row>
    <row r="139" spans="1:12" x14ac:dyDescent="0.25">
      <c r="A139" t="s">
        <v>587</v>
      </c>
      <c r="B139" t="s">
        <v>329</v>
      </c>
      <c r="C139" s="6">
        <v>45869</v>
      </c>
      <c r="D139" t="s">
        <v>331</v>
      </c>
      <c r="E139" t="s">
        <v>330</v>
      </c>
      <c r="F139" t="s">
        <v>232</v>
      </c>
      <c r="G139" t="s">
        <v>74</v>
      </c>
      <c r="H139" t="s">
        <v>75</v>
      </c>
      <c r="I139" s="7"/>
      <c r="J139" s="7">
        <v>37000</v>
      </c>
      <c r="K139" t="s">
        <v>34</v>
      </c>
    </row>
    <row r="140" spans="1:12" x14ac:dyDescent="0.25">
      <c r="A140" t="s">
        <v>587</v>
      </c>
      <c r="B140" t="s">
        <v>329</v>
      </c>
      <c r="C140" s="6">
        <v>45869</v>
      </c>
      <c r="D140" t="s">
        <v>331</v>
      </c>
      <c r="E140" t="s">
        <v>330</v>
      </c>
      <c r="F140" t="s">
        <v>232</v>
      </c>
      <c r="G140" t="s">
        <v>80</v>
      </c>
      <c r="H140" t="s">
        <v>81</v>
      </c>
      <c r="I140" s="7"/>
      <c r="J140" s="7">
        <v>3000</v>
      </c>
      <c r="K140" t="s">
        <v>34</v>
      </c>
    </row>
    <row r="141" spans="1:12" x14ac:dyDescent="0.25">
      <c r="A141" t="s">
        <v>588</v>
      </c>
      <c r="B141" t="s">
        <v>332</v>
      </c>
      <c r="C141" s="6">
        <v>45871</v>
      </c>
      <c r="D141" t="s">
        <v>334</v>
      </c>
      <c r="E141" t="s">
        <v>333</v>
      </c>
      <c r="F141" t="s">
        <v>232</v>
      </c>
      <c r="G141" t="s">
        <v>74</v>
      </c>
      <c r="H141" t="s">
        <v>75</v>
      </c>
      <c r="I141" s="7">
        <v>37000</v>
      </c>
      <c r="J141" s="7"/>
      <c r="K141" t="s">
        <v>34</v>
      </c>
    </row>
    <row r="142" spans="1:12" x14ac:dyDescent="0.25">
      <c r="A142" t="s">
        <v>588</v>
      </c>
      <c r="B142" t="s">
        <v>332</v>
      </c>
      <c r="C142" s="6">
        <v>45871</v>
      </c>
      <c r="D142" t="s">
        <v>334</v>
      </c>
      <c r="E142" t="s">
        <v>333</v>
      </c>
      <c r="F142" t="s">
        <v>232</v>
      </c>
      <c r="G142" t="s">
        <v>37</v>
      </c>
      <c r="H142" t="s">
        <v>38</v>
      </c>
      <c r="I142" s="7"/>
      <c r="J142" s="7">
        <v>37000</v>
      </c>
      <c r="K142" t="s">
        <v>34</v>
      </c>
    </row>
    <row r="143" spans="1:12" x14ac:dyDescent="0.25">
      <c r="A143" t="s">
        <v>589</v>
      </c>
      <c r="B143" t="s">
        <v>335</v>
      </c>
      <c r="C143" s="6">
        <v>45874</v>
      </c>
      <c r="D143" t="s">
        <v>337</v>
      </c>
      <c r="E143" t="s">
        <v>336</v>
      </c>
      <c r="F143" t="s">
        <v>256</v>
      </c>
      <c r="G143" t="s">
        <v>70</v>
      </c>
      <c r="H143" t="s">
        <v>71</v>
      </c>
      <c r="I143" s="7">
        <v>203200</v>
      </c>
      <c r="J143" s="7"/>
      <c r="K143" t="s">
        <v>195</v>
      </c>
    </row>
    <row r="144" spans="1:12" x14ac:dyDescent="0.25">
      <c r="A144" t="s">
        <v>589</v>
      </c>
      <c r="B144" t="s">
        <v>335</v>
      </c>
      <c r="C144" s="6">
        <v>45874</v>
      </c>
      <c r="D144" t="s">
        <v>337</v>
      </c>
      <c r="E144" t="s">
        <v>336</v>
      </c>
      <c r="F144" t="s">
        <v>256</v>
      </c>
      <c r="G144" t="s">
        <v>35</v>
      </c>
      <c r="H144" t="s">
        <v>36</v>
      </c>
      <c r="I144" s="7"/>
      <c r="J144" s="7">
        <v>203200</v>
      </c>
      <c r="K144" t="s">
        <v>195</v>
      </c>
    </row>
    <row r="145" spans="1:12" x14ac:dyDescent="0.25">
      <c r="A145" t="s">
        <v>590</v>
      </c>
      <c r="B145" t="s">
        <v>338</v>
      </c>
      <c r="C145" s="6">
        <v>45881</v>
      </c>
      <c r="D145" t="s">
        <v>340</v>
      </c>
      <c r="E145" t="s">
        <v>339</v>
      </c>
      <c r="F145" t="s">
        <v>209</v>
      </c>
      <c r="G145" t="s">
        <v>37</v>
      </c>
      <c r="H145" t="s">
        <v>38</v>
      </c>
      <c r="I145" s="7">
        <v>184800</v>
      </c>
      <c r="J145" s="7"/>
      <c r="K145" t="s">
        <v>207</v>
      </c>
      <c r="L145">
        <v>12</v>
      </c>
    </row>
    <row r="146" spans="1:12" x14ac:dyDescent="0.25">
      <c r="A146" t="s">
        <v>590</v>
      </c>
      <c r="B146" t="s">
        <v>338</v>
      </c>
      <c r="C146" s="6">
        <v>45881</v>
      </c>
      <c r="D146" t="s">
        <v>340</v>
      </c>
      <c r="E146" t="s">
        <v>339</v>
      </c>
      <c r="F146" t="s">
        <v>209</v>
      </c>
      <c r="G146" t="s">
        <v>93</v>
      </c>
      <c r="H146" t="s">
        <v>94</v>
      </c>
      <c r="I146" s="7"/>
      <c r="J146" s="7">
        <v>165000</v>
      </c>
      <c r="K146" t="s">
        <v>34</v>
      </c>
      <c r="L146">
        <v>12</v>
      </c>
    </row>
    <row r="147" spans="1:12" x14ac:dyDescent="0.25">
      <c r="A147" t="s">
        <v>590</v>
      </c>
      <c r="B147" t="s">
        <v>338</v>
      </c>
      <c r="C147" s="6">
        <v>45881</v>
      </c>
      <c r="D147" t="s">
        <v>340</v>
      </c>
      <c r="E147" t="s">
        <v>339</v>
      </c>
      <c r="F147" t="s">
        <v>209</v>
      </c>
      <c r="G147" t="s">
        <v>78</v>
      </c>
      <c r="H147" t="s">
        <v>79</v>
      </c>
      <c r="I147" s="7"/>
      <c r="J147" s="7">
        <v>19800</v>
      </c>
      <c r="K147" t="s">
        <v>34</v>
      </c>
      <c r="L147">
        <v>12</v>
      </c>
    </row>
    <row r="148" spans="1:12" x14ac:dyDescent="0.25">
      <c r="A148" t="s">
        <v>590</v>
      </c>
      <c r="B148" t="s">
        <v>338</v>
      </c>
      <c r="C148" s="6">
        <v>45881</v>
      </c>
      <c r="D148" t="s">
        <v>340</v>
      </c>
      <c r="E148" t="s">
        <v>339</v>
      </c>
      <c r="F148" t="s">
        <v>209</v>
      </c>
      <c r="G148" t="s">
        <v>101</v>
      </c>
      <c r="H148" t="s">
        <v>102</v>
      </c>
      <c r="I148" s="7">
        <v>90000</v>
      </c>
      <c r="J148" s="7"/>
      <c r="K148" t="s">
        <v>34</v>
      </c>
      <c r="L148">
        <v>12</v>
      </c>
    </row>
    <row r="149" spans="1:12" x14ac:dyDescent="0.25">
      <c r="A149" t="s">
        <v>590</v>
      </c>
      <c r="B149" t="s">
        <v>338</v>
      </c>
      <c r="C149" s="6">
        <v>45881</v>
      </c>
      <c r="D149" t="s">
        <v>340</v>
      </c>
      <c r="E149" t="s">
        <v>339</v>
      </c>
      <c r="F149" t="s">
        <v>209</v>
      </c>
      <c r="G149" t="s">
        <v>44</v>
      </c>
      <c r="H149" t="s">
        <v>45</v>
      </c>
      <c r="I149" s="7"/>
      <c r="J149" s="7">
        <v>90000</v>
      </c>
      <c r="K149" t="s">
        <v>34</v>
      </c>
      <c r="L149">
        <v>12</v>
      </c>
    </row>
    <row r="150" spans="1:12" x14ac:dyDescent="0.25">
      <c r="A150" t="s">
        <v>591</v>
      </c>
      <c r="B150" t="s">
        <v>341</v>
      </c>
      <c r="C150" s="6">
        <v>45887</v>
      </c>
      <c r="D150" t="s">
        <v>343</v>
      </c>
      <c r="E150" t="s">
        <v>342</v>
      </c>
      <c r="F150" t="s">
        <v>251</v>
      </c>
      <c r="G150" t="s">
        <v>35</v>
      </c>
      <c r="H150" t="s">
        <v>36</v>
      </c>
      <c r="I150" s="7">
        <v>100000</v>
      </c>
      <c r="J150" s="7"/>
      <c r="K150" t="s">
        <v>212</v>
      </c>
    </row>
    <row r="151" spans="1:12" x14ac:dyDescent="0.25">
      <c r="A151" t="s">
        <v>591</v>
      </c>
      <c r="B151" t="s">
        <v>341</v>
      </c>
      <c r="C151" s="6">
        <v>45887</v>
      </c>
      <c r="D151" t="s">
        <v>343</v>
      </c>
      <c r="E151" t="s">
        <v>342</v>
      </c>
      <c r="F151" t="s">
        <v>251</v>
      </c>
      <c r="G151" t="s">
        <v>39</v>
      </c>
      <c r="H151" t="s">
        <v>40</v>
      </c>
      <c r="I151" s="7"/>
      <c r="J151" s="7">
        <v>100000</v>
      </c>
      <c r="K151" t="s">
        <v>212</v>
      </c>
    </row>
    <row r="152" spans="1:12" x14ac:dyDescent="0.25">
      <c r="A152" t="s">
        <v>592</v>
      </c>
      <c r="B152" t="s">
        <v>344</v>
      </c>
      <c r="C152" s="6">
        <v>45889</v>
      </c>
      <c r="D152" t="s">
        <v>347</v>
      </c>
      <c r="E152" t="s">
        <v>345</v>
      </c>
      <c r="F152" t="s">
        <v>348</v>
      </c>
      <c r="G152" t="s">
        <v>121</v>
      </c>
      <c r="H152" t="s">
        <v>122</v>
      </c>
      <c r="I152" s="7">
        <v>12000</v>
      </c>
      <c r="J152" s="7"/>
      <c r="K152" t="s">
        <v>34</v>
      </c>
      <c r="L152">
        <v>18</v>
      </c>
    </row>
    <row r="153" spans="1:12" x14ac:dyDescent="0.25">
      <c r="A153" t="s">
        <v>592</v>
      </c>
      <c r="B153" t="s">
        <v>344</v>
      </c>
      <c r="C153" s="6">
        <v>45889</v>
      </c>
      <c r="D153" t="s">
        <v>347</v>
      </c>
      <c r="E153" t="s">
        <v>345</v>
      </c>
      <c r="F153" t="s">
        <v>348</v>
      </c>
      <c r="G153" t="s">
        <v>49</v>
      </c>
      <c r="H153" t="s">
        <v>50</v>
      </c>
      <c r="I153" s="7">
        <v>2160</v>
      </c>
      <c r="J153" s="7"/>
      <c r="K153" t="s">
        <v>34</v>
      </c>
      <c r="L153">
        <v>18</v>
      </c>
    </row>
    <row r="154" spans="1:12" x14ac:dyDescent="0.25">
      <c r="A154" t="s">
        <v>592</v>
      </c>
      <c r="B154" t="s">
        <v>344</v>
      </c>
      <c r="C154" s="6">
        <v>45889</v>
      </c>
      <c r="D154" t="s">
        <v>347</v>
      </c>
      <c r="E154" t="s">
        <v>345</v>
      </c>
      <c r="F154" t="s">
        <v>348</v>
      </c>
      <c r="G154" t="s">
        <v>35</v>
      </c>
      <c r="H154" t="s">
        <v>36</v>
      </c>
      <c r="I154" s="7"/>
      <c r="J154" s="7">
        <v>14160</v>
      </c>
      <c r="K154" t="s">
        <v>346</v>
      </c>
      <c r="L154">
        <v>18</v>
      </c>
    </row>
    <row r="155" spans="1:12" x14ac:dyDescent="0.25">
      <c r="A155" t="s">
        <v>593</v>
      </c>
      <c r="B155" t="s">
        <v>349</v>
      </c>
      <c r="C155" s="6">
        <v>45900</v>
      </c>
      <c r="D155" t="s">
        <v>351</v>
      </c>
      <c r="E155" t="s">
        <v>350</v>
      </c>
      <c r="F155" t="s">
        <v>232</v>
      </c>
      <c r="G155" t="s">
        <v>105</v>
      </c>
      <c r="H155" t="s">
        <v>106</v>
      </c>
      <c r="I155" s="7">
        <v>40000</v>
      </c>
      <c r="J155" s="7"/>
      <c r="K155" t="s">
        <v>34</v>
      </c>
    </row>
    <row r="156" spans="1:12" x14ac:dyDescent="0.25">
      <c r="A156" t="s">
        <v>593</v>
      </c>
      <c r="B156" t="s">
        <v>349</v>
      </c>
      <c r="C156" s="6">
        <v>45900</v>
      </c>
      <c r="D156" t="s">
        <v>351</v>
      </c>
      <c r="E156" t="s">
        <v>350</v>
      </c>
      <c r="F156" t="s">
        <v>232</v>
      </c>
      <c r="G156" t="s">
        <v>74</v>
      </c>
      <c r="H156" t="s">
        <v>75</v>
      </c>
      <c r="I156" s="7"/>
      <c r="J156" s="7">
        <v>37000</v>
      </c>
      <c r="K156" t="s">
        <v>34</v>
      </c>
    </row>
    <row r="157" spans="1:12" x14ac:dyDescent="0.25">
      <c r="A157" t="s">
        <v>593</v>
      </c>
      <c r="B157" t="s">
        <v>349</v>
      </c>
      <c r="C157" s="6">
        <v>45900</v>
      </c>
      <c r="D157" t="s">
        <v>351</v>
      </c>
      <c r="E157" t="s">
        <v>350</v>
      </c>
      <c r="F157" t="s">
        <v>232</v>
      </c>
      <c r="G157" t="s">
        <v>80</v>
      </c>
      <c r="H157" t="s">
        <v>81</v>
      </c>
      <c r="I157" s="7"/>
      <c r="J157" s="7">
        <v>3000</v>
      </c>
      <c r="K157" t="s">
        <v>34</v>
      </c>
    </row>
    <row r="158" spans="1:12" x14ac:dyDescent="0.25">
      <c r="A158" t="s">
        <v>594</v>
      </c>
      <c r="B158" t="s">
        <v>352</v>
      </c>
      <c r="C158" s="6">
        <v>45902</v>
      </c>
      <c r="D158" t="s">
        <v>354</v>
      </c>
      <c r="E158" t="s">
        <v>353</v>
      </c>
      <c r="F158" t="s">
        <v>232</v>
      </c>
      <c r="G158" t="s">
        <v>74</v>
      </c>
      <c r="H158" t="s">
        <v>75</v>
      </c>
      <c r="I158" s="7">
        <v>37000</v>
      </c>
      <c r="J158" s="7"/>
      <c r="K158" t="s">
        <v>34</v>
      </c>
    </row>
    <row r="159" spans="1:12" x14ac:dyDescent="0.25">
      <c r="A159" t="s">
        <v>594</v>
      </c>
      <c r="B159" t="s">
        <v>352</v>
      </c>
      <c r="C159" s="6">
        <v>45902</v>
      </c>
      <c r="D159" t="s">
        <v>354</v>
      </c>
      <c r="E159" t="s">
        <v>353</v>
      </c>
      <c r="F159" t="s">
        <v>232</v>
      </c>
      <c r="G159" t="s">
        <v>37</v>
      </c>
      <c r="H159" t="s">
        <v>38</v>
      </c>
      <c r="I159" s="7"/>
      <c r="J159" s="7">
        <v>37000</v>
      </c>
      <c r="K159" t="s">
        <v>34</v>
      </c>
    </row>
    <row r="160" spans="1:12" x14ac:dyDescent="0.25">
      <c r="A160" t="s">
        <v>595</v>
      </c>
      <c r="B160" t="s">
        <v>355</v>
      </c>
      <c r="C160" s="6">
        <v>45910</v>
      </c>
      <c r="D160" t="s">
        <v>357</v>
      </c>
      <c r="E160" t="s">
        <v>356</v>
      </c>
      <c r="F160" t="s">
        <v>191</v>
      </c>
      <c r="G160" t="s">
        <v>44</v>
      </c>
      <c r="H160" t="s">
        <v>45</v>
      </c>
      <c r="I160" s="7">
        <v>276000</v>
      </c>
      <c r="J160" s="7"/>
      <c r="K160" t="s">
        <v>34</v>
      </c>
      <c r="L160">
        <v>12</v>
      </c>
    </row>
    <row r="161" spans="1:12" x14ac:dyDescent="0.25">
      <c r="A161" t="s">
        <v>595</v>
      </c>
      <c r="B161" t="s">
        <v>355</v>
      </c>
      <c r="C161" s="6">
        <v>45910</v>
      </c>
      <c r="D161" t="s">
        <v>357</v>
      </c>
      <c r="E161" t="s">
        <v>356</v>
      </c>
      <c r="F161" t="s">
        <v>191</v>
      </c>
      <c r="G161" t="s">
        <v>49</v>
      </c>
      <c r="H161" t="s">
        <v>50</v>
      </c>
      <c r="I161" s="7">
        <v>33120</v>
      </c>
      <c r="J161" s="7"/>
      <c r="K161" t="s">
        <v>34</v>
      </c>
      <c r="L161">
        <v>12</v>
      </c>
    </row>
    <row r="162" spans="1:12" x14ac:dyDescent="0.25">
      <c r="A162" t="s">
        <v>595</v>
      </c>
      <c r="B162" t="s">
        <v>355</v>
      </c>
      <c r="C162" s="6">
        <v>45910</v>
      </c>
      <c r="D162" t="s">
        <v>357</v>
      </c>
      <c r="E162" t="s">
        <v>356</v>
      </c>
      <c r="F162" t="s">
        <v>191</v>
      </c>
      <c r="G162" t="s">
        <v>35</v>
      </c>
      <c r="H162" t="s">
        <v>36</v>
      </c>
      <c r="I162" s="7"/>
      <c r="J162" s="7">
        <v>309120</v>
      </c>
      <c r="K162" t="s">
        <v>195</v>
      </c>
      <c r="L162">
        <v>12</v>
      </c>
    </row>
    <row r="163" spans="1:12" x14ac:dyDescent="0.25">
      <c r="A163" t="s">
        <v>596</v>
      </c>
      <c r="B163" t="s">
        <v>358</v>
      </c>
      <c r="C163" s="6">
        <v>45912</v>
      </c>
      <c r="D163" t="s">
        <v>360</v>
      </c>
      <c r="E163" t="s">
        <v>359</v>
      </c>
      <c r="F163" t="s">
        <v>145</v>
      </c>
      <c r="G163" t="s">
        <v>35</v>
      </c>
      <c r="H163" t="s">
        <v>36</v>
      </c>
      <c r="I163" s="7">
        <v>500000</v>
      </c>
      <c r="J163" s="7"/>
      <c r="K163" t="s">
        <v>34</v>
      </c>
    </row>
    <row r="164" spans="1:12" x14ac:dyDescent="0.25">
      <c r="A164" t="s">
        <v>596</v>
      </c>
      <c r="B164" t="s">
        <v>358</v>
      </c>
      <c r="C164" s="6">
        <v>45912</v>
      </c>
      <c r="D164" t="s">
        <v>360</v>
      </c>
      <c r="E164" t="s">
        <v>359</v>
      </c>
      <c r="F164" t="s">
        <v>145</v>
      </c>
      <c r="G164" t="s">
        <v>85</v>
      </c>
      <c r="H164" t="s">
        <v>86</v>
      </c>
      <c r="I164" s="7"/>
      <c r="J164" s="7">
        <v>500000</v>
      </c>
      <c r="K164" t="s">
        <v>34</v>
      </c>
    </row>
    <row r="165" spans="1:12" x14ac:dyDescent="0.25">
      <c r="A165" t="s">
        <v>597</v>
      </c>
      <c r="B165" t="s">
        <v>361</v>
      </c>
      <c r="C165" s="6">
        <v>45915</v>
      </c>
      <c r="D165" t="s">
        <v>364</v>
      </c>
      <c r="E165" t="s">
        <v>363</v>
      </c>
      <c r="F165" t="s">
        <v>365</v>
      </c>
      <c r="G165" t="s">
        <v>76</v>
      </c>
      <c r="H165" t="s">
        <v>77</v>
      </c>
      <c r="I165" s="7">
        <v>100000</v>
      </c>
      <c r="J165" s="7"/>
      <c r="K165" t="s">
        <v>34</v>
      </c>
    </row>
    <row r="166" spans="1:12" x14ac:dyDescent="0.25">
      <c r="A166" t="s">
        <v>597</v>
      </c>
      <c r="B166" t="s">
        <v>361</v>
      </c>
      <c r="C166" s="6">
        <v>45915</v>
      </c>
      <c r="D166" t="s">
        <v>364</v>
      </c>
      <c r="E166" t="s">
        <v>363</v>
      </c>
      <c r="F166" t="s">
        <v>365</v>
      </c>
      <c r="G166" t="s">
        <v>118</v>
      </c>
      <c r="H166" t="s">
        <v>119</v>
      </c>
      <c r="I166" s="7">
        <v>39300</v>
      </c>
      <c r="J166" s="7"/>
      <c r="K166" t="s">
        <v>34</v>
      </c>
    </row>
    <row r="167" spans="1:12" x14ac:dyDescent="0.25">
      <c r="A167" t="s">
        <v>597</v>
      </c>
      <c r="B167" t="s">
        <v>361</v>
      </c>
      <c r="C167" s="6">
        <v>45915</v>
      </c>
      <c r="D167" t="s">
        <v>364</v>
      </c>
      <c r="E167" t="s">
        <v>363</v>
      </c>
      <c r="F167" t="s">
        <v>365</v>
      </c>
      <c r="G167" t="s">
        <v>35</v>
      </c>
      <c r="H167" t="s">
        <v>36</v>
      </c>
      <c r="I167" s="7"/>
      <c r="J167" s="7">
        <v>139300</v>
      </c>
      <c r="K167" t="s">
        <v>34</v>
      </c>
    </row>
    <row r="168" spans="1:12" x14ac:dyDescent="0.25">
      <c r="A168" t="s">
        <v>598</v>
      </c>
      <c r="B168" t="s">
        <v>366</v>
      </c>
      <c r="C168" s="6">
        <v>45920</v>
      </c>
      <c r="D168" t="s">
        <v>369</v>
      </c>
      <c r="E168" t="s">
        <v>367</v>
      </c>
      <c r="F168" t="s">
        <v>221</v>
      </c>
      <c r="G168" t="s">
        <v>110</v>
      </c>
      <c r="H168" t="s">
        <v>111</v>
      </c>
      <c r="I168" s="7">
        <v>9000</v>
      </c>
      <c r="J168" s="7"/>
      <c r="K168" t="s">
        <v>34</v>
      </c>
      <c r="L168">
        <v>18</v>
      </c>
    </row>
    <row r="169" spans="1:12" x14ac:dyDescent="0.25">
      <c r="A169" t="s">
        <v>598</v>
      </c>
      <c r="B169" t="s">
        <v>366</v>
      </c>
      <c r="C169" s="6">
        <v>45920</v>
      </c>
      <c r="D169" t="s">
        <v>369</v>
      </c>
      <c r="E169" t="s">
        <v>367</v>
      </c>
      <c r="F169" t="s">
        <v>221</v>
      </c>
      <c r="G169" t="s">
        <v>49</v>
      </c>
      <c r="H169" t="s">
        <v>50</v>
      </c>
      <c r="I169" s="7">
        <v>1620</v>
      </c>
      <c r="J169" s="7"/>
      <c r="K169" t="s">
        <v>34</v>
      </c>
      <c r="L169">
        <v>18</v>
      </c>
    </row>
    <row r="170" spans="1:12" x14ac:dyDescent="0.25">
      <c r="A170" t="s">
        <v>598</v>
      </c>
      <c r="B170" t="s">
        <v>366</v>
      </c>
      <c r="C170" s="6">
        <v>45920</v>
      </c>
      <c r="D170" t="s">
        <v>369</v>
      </c>
      <c r="E170" t="s">
        <v>367</v>
      </c>
      <c r="F170" t="s">
        <v>221</v>
      </c>
      <c r="G170" t="s">
        <v>37</v>
      </c>
      <c r="H170" t="s">
        <v>38</v>
      </c>
      <c r="I170" s="7"/>
      <c r="J170" s="7">
        <v>10620</v>
      </c>
      <c r="K170" t="s">
        <v>368</v>
      </c>
      <c r="L170">
        <v>18</v>
      </c>
    </row>
    <row r="171" spans="1:12" x14ac:dyDescent="0.25">
      <c r="A171" t="s">
        <v>599</v>
      </c>
      <c r="B171" t="s">
        <v>370</v>
      </c>
      <c r="C171" s="6">
        <v>45930</v>
      </c>
      <c r="D171" t="s">
        <v>373</v>
      </c>
      <c r="E171" t="s">
        <v>372</v>
      </c>
      <c r="F171" t="s">
        <v>47</v>
      </c>
      <c r="G171" t="s">
        <v>108</v>
      </c>
      <c r="H171" t="s">
        <v>109</v>
      </c>
      <c r="I171" s="7">
        <v>66000</v>
      </c>
      <c r="J171" s="7"/>
      <c r="K171" t="s">
        <v>34</v>
      </c>
    </row>
    <row r="172" spans="1:12" x14ac:dyDescent="0.25">
      <c r="A172" t="s">
        <v>599</v>
      </c>
      <c r="B172" t="s">
        <v>370</v>
      </c>
      <c r="C172" s="6">
        <v>45930</v>
      </c>
      <c r="D172" t="s">
        <v>373</v>
      </c>
      <c r="E172" t="s">
        <v>372</v>
      </c>
      <c r="F172" t="s">
        <v>47</v>
      </c>
      <c r="G172" t="s">
        <v>46</v>
      </c>
      <c r="H172" t="s">
        <v>47</v>
      </c>
      <c r="I172" s="7"/>
      <c r="J172" s="7">
        <v>66000</v>
      </c>
      <c r="K172" t="s">
        <v>34</v>
      </c>
    </row>
    <row r="173" spans="1:12" x14ac:dyDescent="0.25">
      <c r="A173" t="s">
        <v>600</v>
      </c>
      <c r="B173" t="s">
        <v>374</v>
      </c>
      <c r="C173" s="6">
        <v>45930</v>
      </c>
      <c r="D173" t="s">
        <v>376</v>
      </c>
      <c r="E173" t="s">
        <v>375</v>
      </c>
      <c r="F173" t="s">
        <v>304</v>
      </c>
      <c r="G173" t="s">
        <v>114</v>
      </c>
      <c r="H173" t="s">
        <v>115</v>
      </c>
      <c r="I173" s="7">
        <v>26339.73</v>
      </c>
      <c r="J173" s="7"/>
      <c r="K173" t="s">
        <v>34</v>
      </c>
    </row>
    <row r="174" spans="1:12" x14ac:dyDescent="0.25">
      <c r="A174" t="s">
        <v>600</v>
      </c>
      <c r="B174" t="s">
        <v>374</v>
      </c>
      <c r="C174" s="6">
        <v>45930</v>
      </c>
      <c r="D174" t="s">
        <v>376</v>
      </c>
      <c r="E174" t="s">
        <v>375</v>
      </c>
      <c r="F174" t="s">
        <v>304</v>
      </c>
      <c r="G174" t="s">
        <v>58</v>
      </c>
      <c r="H174" t="s">
        <v>59</v>
      </c>
      <c r="I174" s="7"/>
      <c r="J174" s="7">
        <v>3528.77</v>
      </c>
      <c r="K174" t="s">
        <v>34</v>
      </c>
    </row>
    <row r="175" spans="1:12" x14ac:dyDescent="0.25">
      <c r="A175" t="s">
        <v>600</v>
      </c>
      <c r="B175" t="s">
        <v>374</v>
      </c>
      <c r="C175" s="6">
        <v>45930</v>
      </c>
      <c r="D175" t="s">
        <v>376</v>
      </c>
      <c r="E175" t="s">
        <v>375</v>
      </c>
      <c r="F175" t="s">
        <v>304</v>
      </c>
      <c r="G175" t="s">
        <v>64</v>
      </c>
      <c r="H175" t="s">
        <v>65</v>
      </c>
      <c r="I175" s="7"/>
      <c r="J175" s="7">
        <v>9578.08</v>
      </c>
      <c r="K175" t="s">
        <v>34</v>
      </c>
    </row>
    <row r="176" spans="1:12" x14ac:dyDescent="0.25">
      <c r="A176" t="s">
        <v>600</v>
      </c>
      <c r="B176" t="s">
        <v>374</v>
      </c>
      <c r="C176" s="6">
        <v>45930</v>
      </c>
      <c r="D176" t="s">
        <v>376</v>
      </c>
      <c r="E176" t="s">
        <v>375</v>
      </c>
      <c r="F176" t="s">
        <v>304</v>
      </c>
      <c r="G176" t="s">
        <v>68</v>
      </c>
      <c r="H176" t="s">
        <v>69</v>
      </c>
      <c r="I176" s="7"/>
      <c r="J176" s="7">
        <v>13232.88</v>
      </c>
      <c r="K176" t="s">
        <v>34</v>
      </c>
    </row>
    <row r="177" spans="1:12" x14ac:dyDescent="0.25">
      <c r="A177" t="s">
        <v>601</v>
      </c>
      <c r="B177" t="s">
        <v>377</v>
      </c>
      <c r="C177" s="6">
        <v>45930</v>
      </c>
      <c r="D177" t="s">
        <v>379</v>
      </c>
      <c r="E177" t="s">
        <v>378</v>
      </c>
      <c r="F177" t="s">
        <v>232</v>
      </c>
      <c r="G177" t="s">
        <v>105</v>
      </c>
      <c r="H177" t="s">
        <v>106</v>
      </c>
      <c r="I177" s="7">
        <v>40000</v>
      </c>
      <c r="J177" s="7"/>
      <c r="K177" t="s">
        <v>34</v>
      </c>
    </row>
    <row r="178" spans="1:12" x14ac:dyDescent="0.25">
      <c r="A178" t="s">
        <v>601</v>
      </c>
      <c r="B178" t="s">
        <v>377</v>
      </c>
      <c r="C178" s="6">
        <v>45930</v>
      </c>
      <c r="D178" t="s">
        <v>379</v>
      </c>
      <c r="E178" t="s">
        <v>378</v>
      </c>
      <c r="F178" t="s">
        <v>232</v>
      </c>
      <c r="G178" t="s">
        <v>74</v>
      </c>
      <c r="H178" t="s">
        <v>75</v>
      </c>
      <c r="I178" s="7"/>
      <c r="J178" s="7">
        <v>37000</v>
      </c>
      <c r="K178" t="s">
        <v>34</v>
      </c>
    </row>
    <row r="179" spans="1:12" x14ac:dyDescent="0.25">
      <c r="A179" t="s">
        <v>601</v>
      </c>
      <c r="B179" t="s">
        <v>377</v>
      </c>
      <c r="C179" s="6">
        <v>45930</v>
      </c>
      <c r="D179" t="s">
        <v>379</v>
      </c>
      <c r="E179" t="s">
        <v>378</v>
      </c>
      <c r="F179" t="s">
        <v>232</v>
      </c>
      <c r="G179" t="s">
        <v>80</v>
      </c>
      <c r="H179" t="s">
        <v>81</v>
      </c>
      <c r="I179" s="7"/>
      <c r="J179" s="7">
        <v>3000</v>
      </c>
      <c r="K179" t="s">
        <v>34</v>
      </c>
    </row>
    <row r="180" spans="1:12" x14ac:dyDescent="0.25">
      <c r="A180" t="s">
        <v>602</v>
      </c>
      <c r="B180" t="s">
        <v>380</v>
      </c>
      <c r="C180" s="6">
        <v>45930</v>
      </c>
      <c r="D180" t="s">
        <v>381</v>
      </c>
      <c r="E180" t="s">
        <v>307</v>
      </c>
      <c r="F180" t="s">
        <v>100</v>
      </c>
      <c r="G180" t="s">
        <v>35</v>
      </c>
      <c r="H180" t="s">
        <v>36</v>
      </c>
      <c r="I180" s="7">
        <v>3400</v>
      </c>
      <c r="J180" s="7"/>
      <c r="K180" t="s">
        <v>34</v>
      </c>
    </row>
    <row r="181" spans="1:12" x14ac:dyDescent="0.25">
      <c r="A181" t="s">
        <v>602</v>
      </c>
      <c r="B181" t="s">
        <v>380</v>
      </c>
      <c r="C181" s="6">
        <v>45930</v>
      </c>
      <c r="D181" t="s">
        <v>381</v>
      </c>
      <c r="E181" t="s">
        <v>307</v>
      </c>
      <c r="F181" t="s">
        <v>100</v>
      </c>
      <c r="G181" t="s">
        <v>99</v>
      </c>
      <c r="H181" t="s">
        <v>100</v>
      </c>
      <c r="I181" s="7"/>
      <c r="J181" s="7">
        <v>3400</v>
      </c>
      <c r="K181" t="s">
        <v>34</v>
      </c>
    </row>
    <row r="182" spans="1:12" x14ac:dyDescent="0.25">
      <c r="A182" t="s">
        <v>603</v>
      </c>
      <c r="B182" t="s">
        <v>382</v>
      </c>
      <c r="C182" s="6">
        <v>45931</v>
      </c>
      <c r="D182" t="s">
        <v>384</v>
      </c>
      <c r="E182" t="s">
        <v>383</v>
      </c>
      <c r="F182" t="s">
        <v>232</v>
      </c>
      <c r="G182" t="s">
        <v>74</v>
      </c>
      <c r="H182" t="s">
        <v>75</v>
      </c>
      <c r="I182" s="7">
        <v>37000</v>
      </c>
      <c r="J182" s="7"/>
      <c r="K182" t="s">
        <v>34</v>
      </c>
    </row>
    <row r="183" spans="1:12" x14ac:dyDescent="0.25">
      <c r="A183" t="s">
        <v>603</v>
      </c>
      <c r="B183" t="s">
        <v>382</v>
      </c>
      <c r="C183" s="6">
        <v>45931</v>
      </c>
      <c r="D183" t="s">
        <v>384</v>
      </c>
      <c r="E183" t="s">
        <v>383</v>
      </c>
      <c r="F183" t="s">
        <v>232</v>
      </c>
      <c r="G183" t="s">
        <v>37</v>
      </c>
      <c r="H183" t="s">
        <v>38</v>
      </c>
      <c r="I183" s="7"/>
      <c r="J183" s="7">
        <v>37000</v>
      </c>
      <c r="K183" t="s">
        <v>34</v>
      </c>
    </row>
    <row r="184" spans="1:12" x14ac:dyDescent="0.25">
      <c r="A184" t="s">
        <v>604</v>
      </c>
      <c r="B184" t="s">
        <v>385</v>
      </c>
      <c r="C184" s="6">
        <v>45935</v>
      </c>
      <c r="D184" t="s">
        <v>387</v>
      </c>
      <c r="E184" t="s">
        <v>386</v>
      </c>
      <c r="F184" t="s">
        <v>191</v>
      </c>
      <c r="G184" t="s">
        <v>44</v>
      </c>
      <c r="H184" t="s">
        <v>45</v>
      </c>
      <c r="I184" s="7">
        <v>228000</v>
      </c>
      <c r="J184" s="7"/>
      <c r="K184" t="s">
        <v>34</v>
      </c>
      <c r="L184">
        <v>18</v>
      </c>
    </row>
    <row r="185" spans="1:12" x14ac:dyDescent="0.25">
      <c r="A185" t="s">
        <v>604</v>
      </c>
      <c r="B185" t="s">
        <v>385</v>
      </c>
      <c r="C185" s="6">
        <v>45935</v>
      </c>
      <c r="D185" t="s">
        <v>387</v>
      </c>
      <c r="E185" t="s">
        <v>386</v>
      </c>
      <c r="F185" t="s">
        <v>191</v>
      </c>
      <c r="G185" t="s">
        <v>49</v>
      </c>
      <c r="H185" t="s">
        <v>50</v>
      </c>
      <c r="I185" s="7">
        <v>41040</v>
      </c>
      <c r="J185" s="7"/>
      <c r="K185" t="s">
        <v>34</v>
      </c>
      <c r="L185">
        <v>18</v>
      </c>
    </row>
    <row r="186" spans="1:12" x14ac:dyDescent="0.25">
      <c r="A186" t="s">
        <v>604</v>
      </c>
      <c r="B186" t="s">
        <v>385</v>
      </c>
      <c r="C186" s="6">
        <v>45935</v>
      </c>
      <c r="D186" t="s">
        <v>387</v>
      </c>
      <c r="E186" t="s">
        <v>386</v>
      </c>
      <c r="F186" t="s">
        <v>191</v>
      </c>
      <c r="G186" t="s">
        <v>70</v>
      </c>
      <c r="H186" t="s">
        <v>71</v>
      </c>
      <c r="I186" s="7"/>
      <c r="J186" s="7">
        <v>269040</v>
      </c>
      <c r="K186" t="s">
        <v>189</v>
      </c>
      <c r="L186">
        <v>18</v>
      </c>
    </row>
    <row r="187" spans="1:12" x14ac:dyDescent="0.25">
      <c r="A187" t="s">
        <v>605</v>
      </c>
      <c r="B187" t="s">
        <v>388</v>
      </c>
      <c r="C187" s="6">
        <v>45936</v>
      </c>
      <c r="D187" t="s">
        <v>390</v>
      </c>
      <c r="E187" t="s">
        <v>389</v>
      </c>
      <c r="F187" t="s">
        <v>191</v>
      </c>
      <c r="G187" t="s">
        <v>44</v>
      </c>
      <c r="H187" t="s">
        <v>45</v>
      </c>
      <c r="I187" s="7">
        <v>198000</v>
      </c>
      <c r="J187" s="7"/>
      <c r="K187" t="s">
        <v>34</v>
      </c>
      <c r="L187">
        <v>18</v>
      </c>
    </row>
    <row r="188" spans="1:12" x14ac:dyDescent="0.25">
      <c r="A188" t="s">
        <v>605</v>
      </c>
      <c r="B188" t="s">
        <v>388</v>
      </c>
      <c r="C188" s="6">
        <v>45936</v>
      </c>
      <c r="D188" t="s">
        <v>390</v>
      </c>
      <c r="E188" t="s">
        <v>389</v>
      </c>
      <c r="F188" t="s">
        <v>191</v>
      </c>
      <c r="G188" t="s">
        <v>49</v>
      </c>
      <c r="H188" t="s">
        <v>50</v>
      </c>
      <c r="I188" s="7">
        <v>35640</v>
      </c>
      <c r="J188" s="7"/>
      <c r="K188" t="s">
        <v>34</v>
      </c>
      <c r="L188">
        <v>18</v>
      </c>
    </row>
    <row r="189" spans="1:12" x14ac:dyDescent="0.25">
      <c r="A189" t="s">
        <v>605</v>
      </c>
      <c r="B189" t="s">
        <v>388</v>
      </c>
      <c r="C189" s="6">
        <v>45936</v>
      </c>
      <c r="D189" t="s">
        <v>390</v>
      </c>
      <c r="E189" t="s">
        <v>389</v>
      </c>
      <c r="F189" t="s">
        <v>191</v>
      </c>
      <c r="G189" t="s">
        <v>35</v>
      </c>
      <c r="H189" t="s">
        <v>36</v>
      </c>
      <c r="I189" s="7"/>
      <c r="J189" s="7">
        <v>233640</v>
      </c>
      <c r="K189" t="s">
        <v>201</v>
      </c>
      <c r="L189">
        <v>18</v>
      </c>
    </row>
    <row r="190" spans="1:12" x14ac:dyDescent="0.25">
      <c r="A190" t="s">
        <v>606</v>
      </c>
      <c r="B190" t="s">
        <v>391</v>
      </c>
      <c r="C190" s="6">
        <v>45942</v>
      </c>
      <c r="D190" t="s">
        <v>393</v>
      </c>
      <c r="E190" t="s">
        <v>392</v>
      </c>
      <c r="F190" t="s">
        <v>227</v>
      </c>
      <c r="G190" t="s">
        <v>112</v>
      </c>
      <c r="H190" t="s">
        <v>113</v>
      </c>
      <c r="I190" s="7">
        <v>60000</v>
      </c>
      <c r="J190" s="7"/>
      <c r="K190" t="s">
        <v>34</v>
      </c>
      <c r="L190">
        <v>18</v>
      </c>
    </row>
    <row r="191" spans="1:12" x14ac:dyDescent="0.25">
      <c r="A191" t="s">
        <v>606</v>
      </c>
      <c r="B191" t="s">
        <v>391</v>
      </c>
      <c r="C191" s="6">
        <v>45942</v>
      </c>
      <c r="D191" t="s">
        <v>393</v>
      </c>
      <c r="E191" t="s">
        <v>392</v>
      </c>
      <c r="F191" t="s">
        <v>227</v>
      </c>
      <c r="G191" t="s">
        <v>49</v>
      </c>
      <c r="H191" t="s">
        <v>50</v>
      </c>
      <c r="I191" s="7">
        <v>10800</v>
      </c>
      <c r="J191" s="7"/>
      <c r="K191" t="s">
        <v>34</v>
      </c>
      <c r="L191">
        <v>18</v>
      </c>
    </row>
    <row r="192" spans="1:12" x14ac:dyDescent="0.25">
      <c r="A192" t="s">
        <v>606</v>
      </c>
      <c r="B192" t="s">
        <v>391</v>
      </c>
      <c r="C192" s="6">
        <v>45942</v>
      </c>
      <c r="D192" t="s">
        <v>393</v>
      </c>
      <c r="E192" t="s">
        <v>392</v>
      </c>
      <c r="F192" t="s">
        <v>227</v>
      </c>
      <c r="G192" t="s">
        <v>37</v>
      </c>
      <c r="H192" t="s">
        <v>38</v>
      </c>
      <c r="I192" s="7"/>
      <c r="J192" s="7">
        <v>70800</v>
      </c>
      <c r="K192" t="s">
        <v>225</v>
      </c>
      <c r="L192">
        <v>18</v>
      </c>
    </row>
    <row r="193" spans="1:12" x14ac:dyDescent="0.25">
      <c r="A193" t="s">
        <v>607</v>
      </c>
      <c r="B193" t="s">
        <v>394</v>
      </c>
      <c r="C193" s="6">
        <v>45948</v>
      </c>
      <c r="D193" t="s">
        <v>396</v>
      </c>
      <c r="E193" t="s">
        <v>395</v>
      </c>
      <c r="F193" t="s">
        <v>209</v>
      </c>
      <c r="G193" t="s">
        <v>37</v>
      </c>
      <c r="H193" t="s">
        <v>38</v>
      </c>
      <c r="I193" s="7">
        <v>708000</v>
      </c>
      <c r="J193" s="7"/>
      <c r="K193" t="s">
        <v>207</v>
      </c>
      <c r="L193">
        <v>18</v>
      </c>
    </row>
    <row r="194" spans="1:12" x14ac:dyDescent="0.25">
      <c r="A194" t="s">
        <v>607</v>
      </c>
      <c r="B194" t="s">
        <v>394</v>
      </c>
      <c r="C194" s="6">
        <v>45948</v>
      </c>
      <c r="D194" t="s">
        <v>396</v>
      </c>
      <c r="E194" t="s">
        <v>395</v>
      </c>
      <c r="F194" t="s">
        <v>209</v>
      </c>
      <c r="G194" t="s">
        <v>93</v>
      </c>
      <c r="H194" t="s">
        <v>94</v>
      </c>
      <c r="I194" s="7"/>
      <c r="J194" s="7">
        <v>600000</v>
      </c>
      <c r="K194" t="s">
        <v>34</v>
      </c>
      <c r="L194">
        <v>18</v>
      </c>
    </row>
    <row r="195" spans="1:12" x14ac:dyDescent="0.25">
      <c r="A195" t="s">
        <v>607</v>
      </c>
      <c r="B195" t="s">
        <v>394</v>
      </c>
      <c r="C195" s="6">
        <v>45948</v>
      </c>
      <c r="D195" t="s">
        <v>396</v>
      </c>
      <c r="E195" t="s">
        <v>395</v>
      </c>
      <c r="F195" t="s">
        <v>209</v>
      </c>
      <c r="G195" t="s">
        <v>78</v>
      </c>
      <c r="H195" t="s">
        <v>79</v>
      </c>
      <c r="I195" s="7"/>
      <c r="J195" s="7">
        <v>108000</v>
      </c>
      <c r="K195" t="s">
        <v>34</v>
      </c>
      <c r="L195">
        <v>18</v>
      </c>
    </row>
    <row r="196" spans="1:12" x14ac:dyDescent="0.25">
      <c r="A196" t="s">
        <v>607</v>
      </c>
      <c r="B196" t="s">
        <v>394</v>
      </c>
      <c r="C196" s="6">
        <v>45948</v>
      </c>
      <c r="D196" t="s">
        <v>396</v>
      </c>
      <c r="E196" t="s">
        <v>395</v>
      </c>
      <c r="F196" t="s">
        <v>209</v>
      </c>
      <c r="G196" t="s">
        <v>101</v>
      </c>
      <c r="H196" t="s">
        <v>102</v>
      </c>
      <c r="I196" s="7">
        <v>341318.92</v>
      </c>
      <c r="J196" s="7"/>
      <c r="K196" t="s">
        <v>34</v>
      </c>
      <c r="L196">
        <v>18</v>
      </c>
    </row>
    <row r="197" spans="1:12" x14ac:dyDescent="0.25">
      <c r="A197" t="s">
        <v>607</v>
      </c>
      <c r="B197" t="s">
        <v>394</v>
      </c>
      <c r="C197" s="6">
        <v>45948</v>
      </c>
      <c r="D197" t="s">
        <v>396</v>
      </c>
      <c r="E197" t="s">
        <v>395</v>
      </c>
      <c r="F197" t="s">
        <v>209</v>
      </c>
      <c r="G197" t="s">
        <v>44</v>
      </c>
      <c r="H197" t="s">
        <v>45</v>
      </c>
      <c r="I197" s="7"/>
      <c r="J197" s="7">
        <v>341318.92</v>
      </c>
      <c r="K197" t="s">
        <v>34</v>
      </c>
      <c r="L197">
        <v>18</v>
      </c>
    </row>
    <row r="198" spans="1:12" x14ac:dyDescent="0.25">
      <c r="A198" t="s">
        <v>608</v>
      </c>
      <c r="B198" t="s">
        <v>397</v>
      </c>
      <c r="C198" s="6">
        <v>45950</v>
      </c>
      <c r="D198" t="s">
        <v>400</v>
      </c>
      <c r="E198" t="s">
        <v>398</v>
      </c>
      <c r="F198" t="s">
        <v>209</v>
      </c>
      <c r="G198" t="s">
        <v>39</v>
      </c>
      <c r="H198" t="s">
        <v>40</v>
      </c>
      <c r="I198" s="7">
        <v>380800</v>
      </c>
      <c r="J198" s="7"/>
      <c r="K198" t="s">
        <v>399</v>
      </c>
      <c r="L198">
        <v>12</v>
      </c>
    </row>
    <row r="199" spans="1:12" x14ac:dyDescent="0.25">
      <c r="A199" t="s">
        <v>608</v>
      </c>
      <c r="B199" t="s">
        <v>397</v>
      </c>
      <c r="C199" s="6">
        <v>45950</v>
      </c>
      <c r="D199" t="s">
        <v>400</v>
      </c>
      <c r="E199" t="s">
        <v>398</v>
      </c>
      <c r="F199" t="s">
        <v>209</v>
      </c>
      <c r="G199" t="s">
        <v>93</v>
      </c>
      <c r="H199" t="s">
        <v>94</v>
      </c>
      <c r="I199" s="7"/>
      <c r="J199" s="7">
        <v>340000</v>
      </c>
      <c r="K199" t="s">
        <v>34</v>
      </c>
      <c r="L199">
        <v>12</v>
      </c>
    </row>
    <row r="200" spans="1:12" x14ac:dyDescent="0.25">
      <c r="A200" t="s">
        <v>608</v>
      </c>
      <c r="B200" t="s">
        <v>397</v>
      </c>
      <c r="C200" s="6">
        <v>45950</v>
      </c>
      <c r="D200" t="s">
        <v>400</v>
      </c>
      <c r="E200" t="s">
        <v>398</v>
      </c>
      <c r="F200" t="s">
        <v>209</v>
      </c>
      <c r="G200" t="s">
        <v>78</v>
      </c>
      <c r="H200" t="s">
        <v>79</v>
      </c>
      <c r="I200" s="7"/>
      <c r="J200" s="7">
        <v>40800</v>
      </c>
      <c r="K200" t="s">
        <v>34</v>
      </c>
      <c r="L200">
        <v>12</v>
      </c>
    </row>
    <row r="201" spans="1:12" x14ac:dyDescent="0.25">
      <c r="A201" t="s">
        <v>608</v>
      </c>
      <c r="B201" t="s">
        <v>397</v>
      </c>
      <c r="C201" s="6">
        <v>45950</v>
      </c>
      <c r="D201" t="s">
        <v>400</v>
      </c>
      <c r="E201" t="s">
        <v>398</v>
      </c>
      <c r="F201" t="s">
        <v>209</v>
      </c>
      <c r="G201" t="s">
        <v>101</v>
      </c>
      <c r="H201" t="s">
        <v>102</v>
      </c>
      <c r="I201" s="7">
        <v>182608.7</v>
      </c>
      <c r="J201" s="7"/>
      <c r="K201" t="s">
        <v>34</v>
      </c>
      <c r="L201">
        <v>12</v>
      </c>
    </row>
    <row r="202" spans="1:12" x14ac:dyDescent="0.25">
      <c r="A202" t="s">
        <v>608</v>
      </c>
      <c r="B202" t="s">
        <v>397</v>
      </c>
      <c r="C202" s="6">
        <v>45950</v>
      </c>
      <c r="D202" t="s">
        <v>400</v>
      </c>
      <c r="E202" t="s">
        <v>398</v>
      </c>
      <c r="F202" t="s">
        <v>209</v>
      </c>
      <c r="G202" t="s">
        <v>44</v>
      </c>
      <c r="H202" t="s">
        <v>45</v>
      </c>
      <c r="I202" s="7"/>
      <c r="J202" s="7">
        <v>182608.7</v>
      </c>
      <c r="K202" t="s">
        <v>34</v>
      </c>
      <c r="L202">
        <v>12</v>
      </c>
    </row>
    <row r="203" spans="1:12" x14ac:dyDescent="0.25">
      <c r="A203" t="s">
        <v>609</v>
      </c>
      <c r="B203" t="s">
        <v>401</v>
      </c>
      <c r="C203" s="6">
        <v>45952</v>
      </c>
      <c r="D203" t="s">
        <v>403</v>
      </c>
      <c r="E203" t="s">
        <v>402</v>
      </c>
      <c r="F203" t="s">
        <v>209</v>
      </c>
      <c r="G203" t="s">
        <v>35</v>
      </c>
      <c r="H203" t="s">
        <v>36</v>
      </c>
      <c r="I203" s="7">
        <v>690300</v>
      </c>
      <c r="J203" s="7"/>
      <c r="K203" t="s">
        <v>207</v>
      </c>
      <c r="L203">
        <v>18</v>
      </c>
    </row>
    <row r="204" spans="1:12" x14ac:dyDescent="0.25">
      <c r="A204" t="s">
        <v>609</v>
      </c>
      <c r="B204" t="s">
        <v>401</v>
      </c>
      <c r="C204" s="6">
        <v>45952</v>
      </c>
      <c r="D204" t="s">
        <v>403</v>
      </c>
      <c r="E204" t="s">
        <v>402</v>
      </c>
      <c r="F204" t="s">
        <v>209</v>
      </c>
      <c r="G204" t="s">
        <v>93</v>
      </c>
      <c r="H204" t="s">
        <v>94</v>
      </c>
      <c r="I204" s="7"/>
      <c r="J204" s="7">
        <v>585000</v>
      </c>
      <c r="K204" t="s">
        <v>34</v>
      </c>
      <c r="L204">
        <v>18</v>
      </c>
    </row>
    <row r="205" spans="1:12" x14ac:dyDescent="0.25">
      <c r="A205" t="s">
        <v>609</v>
      </c>
      <c r="B205" t="s">
        <v>401</v>
      </c>
      <c r="C205" s="6">
        <v>45952</v>
      </c>
      <c r="D205" t="s">
        <v>403</v>
      </c>
      <c r="E205" t="s">
        <v>402</v>
      </c>
      <c r="F205" t="s">
        <v>209</v>
      </c>
      <c r="G205" t="s">
        <v>78</v>
      </c>
      <c r="H205" t="s">
        <v>79</v>
      </c>
      <c r="I205" s="7"/>
      <c r="J205" s="7">
        <v>105300</v>
      </c>
      <c r="K205" t="s">
        <v>34</v>
      </c>
      <c r="L205">
        <v>18</v>
      </c>
    </row>
    <row r="206" spans="1:12" x14ac:dyDescent="0.25">
      <c r="A206" t="s">
        <v>609</v>
      </c>
      <c r="B206" t="s">
        <v>401</v>
      </c>
      <c r="C206" s="6">
        <v>45952</v>
      </c>
      <c r="D206" t="s">
        <v>403</v>
      </c>
      <c r="E206" t="s">
        <v>402</v>
      </c>
      <c r="F206" t="s">
        <v>209</v>
      </c>
      <c r="G206" t="s">
        <v>101</v>
      </c>
      <c r="H206" t="s">
        <v>102</v>
      </c>
      <c r="I206" s="7">
        <v>294642.86</v>
      </c>
      <c r="J206" s="7"/>
      <c r="K206" t="s">
        <v>34</v>
      </c>
      <c r="L206">
        <v>18</v>
      </c>
    </row>
    <row r="207" spans="1:12" x14ac:dyDescent="0.25">
      <c r="A207" t="s">
        <v>609</v>
      </c>
      <c r="B207" t="s">
        <v>401</v>
      </c>
      <c r="C207" s="6">
        <v>45952</v>
      </c>
      <c r="D207" t="s">
        <v>403</v>
      </c>
      <c r="E207" t="s">
        <v>402</v>
      </c>
      <c r="F207" t="s">
        <v>209</v>
      </c>
      <c r="G207" t="s">
        <v>44</v>
      </c>
      <c r="H207" t="s">
        <v>45</v>
      </c>
      <c r="I207" s="7"/>
      <c r="J207" s="7">
        <v>294642.86</v>
      </c>
      <c r="K207" t="s">
        <v>34</v>
      </c>
      <c r="L207">
        <v>18</v>
      </c>
    </row>
    <row r="208" spans="1:12" x14ac:dyDescent="0.25">
      <c r="A208" t="s">
        <v>610</v>
      </c>
      <c r="B208" t="s">
        <v>404</v>
      </c>
      <c r="C208" s="6">
        <v>45955</v>
      </c>
      <c r="D208" t="s">
        <v>406</v>
      </c>
      <c r="E208" t="s">
        <v>405</v>
      </c>
      <c r="F208" t="s">
        <v>98</v>
      </c>
      <c r="G208" t="s">
        <v>37</v>
      </c>
      <c r="H208" t="s">
        <v>38</v>
      </c>
      <c r="I208" s="7">
        <v>29500</v>
      </c>
      <c r="J208" s="7"/>
      <c r="K208" t="s">
        <v>207</v>
      </c>
      <c r="L208">
        <v>18</v>
      </c>
    </row>
    <row r="209" spans="1:12" x14ac:dyDescent="0.25">
      <c r="A209" t="s">
        <v>610</v>
      </c>
      <c r="B209" t="s">
        <v>404</v>
      </c>
      <c r="C209" s="6">
        <v>45955</v>
      </c>
      <c r="D209" t="s">
        <v>406</v>
      </c>
      <c r="E209" t="s">
        <v>405</v>
      </c>
      <c r="F209" t="s">
        <v>98</v>
      </c>
      <c r="G209" t="s">
        <v>97</v>
      </c>
      <c r="H209" t="s">
        <v>98</v>
      </c>
      <c r="I209" s="7"/>
      <c r="J209" s="7">
        <v>25000</v>
      </c>
      <c r="K209" t="s">
        <v>34</v>
      </c>
      <c r="L209">
        <v>18</v>
      </c>
    </row>
    <row r="210" spans="1:12" x14ac:dyDescent="0.25">
      <c r="A210" t="s">
        <v>610</v>
      </c>
      <c r="B210" t="s">
        <v>404</v>
      </c>
      <c r="C210" s="6">
        <v>45955</v>
      </c>
      <c r="D210" t="s">
        <v>406</v>
      </c>
      <c r="E210" t="s">
        <v>405</v>
      </c>
      <c r="F210" t="s">
        <v>98</v>
      </c>
      <c r="G210" t="s">
        <v>78</v>
      </c>
      <c r="H210" t="s">
        <v>79</v>
      </c>
      <c r="I210" s="7"/>
      <c r="J210" s="7">
        <v>4500</v>
      </c>
      <c r="K210" t="s">
        <v>34</v>
      </c>
      <c r="L210">
        <v>18</v>
      </c>
    </row>
    <row r="211" spans="1:12" x14ac:dyDescent="0.25">
      <c r="A211" t="s">
        <v>611</v>
      </c>
      <c r="B211" t="s">
        <v>407</v>
      </c>
      <c r="C211" s="6">
        <v>45961</v>
      </c>
      <c r="D211" t="s">
        <v>409</v>
      </c>
      <c r="E211" t="s">
        <v>408</v>
      </c>
      <c r="F211" t="s">
        <v>232</v>
      </c>
      <c r="G211" t="s">
        <v>105</v>
      </c>
      <c r="H211" t="s">
        <v>106</v>
      </c>
      <c r="I211" s="7">
        <v>40000</v>
      </c>
      <c r="J211" s="7"/>
      <c r="K211" t="s">
        <v>34</v>
      </c>
    </row>
    <row r="212" spans="1:12" x14ac:dyDescent="0.25">
      <c r="A212" t="s">
        <v>611</v>
      </c>
      <c r="B212" t="s">
        <v>407</v>
      </c>
      <c r="C212" s="6">
        <v>45961</v>
      </c>
      <c r="D212" t="s">
        <v>409</v>
      </c>
      <c r="E212" t="s">
        <v>408</v>
      </c>
      <c r="F212" t="s">
        <v>232</v>
      </c>
      <c r="G212" t="s">
        <v>74</v>
      </c>
      <c r="H212" t="s">
        <v>75</v>
      </c>
      <c r="I212" s="7"/>
      <c r="J212" s="7">
        <v>37000</v>
      </c>
      <c r="K212" t="s">
        <v>34</v>
      </c>
    </row>
    <row r="213" spans="1:12" x14ac:dyDescent="0.25">
      <c r="A213" t="s">
        <v>611</v>
      </c>
      <c r="B213" t="s">
        <v>407</v>
      </c>
      <c r="C213" s="6">
        <v>45961</v>
      </c>
      <c r="D213" t="s">
        <v>409</v>
      </c>
      <c r="E213" t="s">
        <v>408</v>
      </c>
      <c r="F213" t="s">
        <v>232</v>
      </c>
      <c r="G213" t="s">
        <v>80</v>
      </c>
      <c r="H213" t="s">
        <v>81</v>
      </c>
      <c r="I213" s="7"/>
      <c r="J213" s="7">
        <v>3000</v>
      </c>
      <c r="K213" t="s">
        <v>34</v>
      </c>
    </row>
    <row r="214" spans="1:12" x14ac:dyDescent="0.25">
      <c r="A214" t="s">
        <v>612</v>
      </c>
      <c r="B214" t="s">
        <v>410</v>
      </c>
      <c r="C214" s="6">
        <v>45963</v>
      </c>
      <c r="D214" t="s">
        <v>412</v>
      </c>
      <c r="E214" t="s">
        <v>411</v>
      </c>
      <c r="F214" t="s">
        <v>232</v>
      </c>
      <c r="G214" t="s">
        <v>74</v>
      </c>
      <c r="H214" t="s">
        <v>75</v>
      </c>
      <c r="I214" s="7">
        <v>37000</v>
      </c>
      <c r="J214" s="7"/>
      <c r="K214" t="s">
        <v>34</v>
      </c>
    </row>
    <row r="215" spans="1:12" x14ac:dyDescent="0.25">
      <c r="A215" t="s">
        <v>612</v>
      </c>
      <c r="B215" t="s">
        <v>410</v>
      </c>
      <c r="C215" s="6">
        <v>45963</v>
      </c>
      <c r="D215" t="s">
        <v>412</v>
      </c>
      <c r="E215" t="s">
        <v>411</v>
      </c>
      <c r="F215" t="s">
        <v>232</v>
      </c>
      <c r="G215" t="s">
        <v>37</v>
      </c>
      <c r="H215" t="s">
        <v>38</v>
      </c>
      <c r="I215" s="7"/>
      <c r="J215" s="7">
        <v>37000</v>
      </c>
      <c r="K215" t="s">
        <v>34</v>
      </c>
    </row>
    <row r="216" spans="1:12" x14ac:dyDescent="0.25">
      <c r="A216" t="s">
        <v>613</v>
      </c>
      <c r="B216" t="s">
        <v>413</v>
      </c>
      <c r="C216" s="6">
        <v>45971</v>
      </c>
      <c r="D216" t="s">
        <v>415</v>
      </c>
      <c r="E216" t="s">
        <v>414</v>
      </c>
      <c r="F216" t="s">
        <v>251</v>
      </c>
      <c r="G216" t="s">
        <v>35</v>
      </c>
      <c r="H216" t="s">
        <v>36</v>
      </c>
      <c r="I216" s="7">
        <v>380800</v>
      </c>
      <c r="J216" s="7"/>
      <c r="K216" t="s">
        <v>399</v>
      </c>
    </row>
    <row r="217" spans="1:12" x14ac:dyDescent="0.25">
      <c r="A217" t="s">
        <v>613</v>
      </c>
      <c r="B217" t="s">
        <v>413</v>
      </c>
      <c r="C217" s="6">
        <v>45971</v>
      </c>
      <c r="D217" t="s">
        <v>415</v>
      </c>
      <c r="E217" t="s">
        <v>414</v>
      </c>
      <c r="F217" t="s">
        <v>251</v>
      </c>
      <c r="G217" t="s">
        <v>39</v>
      </c>
      <c r="H217" t="s">
        <v>40</v>
      </c>
      <c r="I217" s="7"/>
      <c r="J217" s="7">
        <v>380800</v>
      </c>
      <c r="K217" t="s">
        <v>399</v>
      </c>
    </row>
    <row r="218" spans="1:12" x14ac:dyDescent="0.25">
      <c r="A218" t="s">
        <v>614</v>
      </c>
      <c r="B218" t="s">
        <v>416</v>
      </c>
      <c r="C218" s="6">
        <v>45976</v>
      </c>
      <c r="D218" t="s">
        <v>418</v>
      </c>
      <c r="E218" t="s">
        <v>417</v>
      </c>
      <c r="F218" t="s">
        <v>256</v>
      </c>
      <c r="G218" t="s">
        <v>70</v>
      </c>
      <c r="H218" t="s">
        <v>71</v>
      </c>
      <c r="I218" s="7">
        <v>269040</v>
      </c>
      <c r="J218" s="7"/>
      <c r="K218" t="s">
        <v>189</v>
      </c>
    </row>
    <row r="219" spans="1:12" x14ac:dyDescent="0.25">
      <c r="A219" t="s">
        <v>614</v>
      </c>
      <c r="B219" t="s">
        <v>416</v>
      </c>
      <c r="C219" s="6">
        <v>45976</v>
      </c>
      <c r="D219" t="s">
        <v>418</v>
      </c>
      <c r="E219" t="s">
        <v>417</v>
      </c>
      <c r="F219" t="s">
        <v>256</v>
      </c>
      <c r="G219" t="s">
        <v>35</v>
      </c>
      <c r="H219" t="s">
        <v>36</v>
      </c>
      <c r="I219" s="7"/>
      <c r="J219" s="7">
        <v>269040</v>
      </c>
      <c r="K219" t="s">
        <v>189</v>
      </c>
    </row>
    <row r="220" spans="1:12" x14ac:dyDescent="0.25">
      <c r="A220" t="s">
        <v>615</v>
      </c>
      <c r="B220" t="s">
        <v>419</v>
      </c>
      <c r="C220" s="6">
        <v>45981</v>
      </c>
      <c r="D220" t="s">
        <v>421</v>
      </c>
      <c r="E220" t="s">
        <v>420</v>
      </c>
      <c r="F220" t="s">
        <v>322</v>
      </c>
      <c r="G220" t="s">
        <v>78</v>
      </c>
      <c r="H220" t="s">
        <v>79</v>
      </c>
      <c r="I220" s="7">
        <v>296040</v>
      </c>
      <c r="J220" s="7"/>
      <c r="K220" t="s">
        <v>34</v>
      </c>
    </row>
    <row r="221" spans="1:12" x14ac:dyDescent="0.25">
      <c r="A221" t="s">
        <v>615</v>
      </c>
      <c r="B221" t="s">
        <v>419</v>
      </c>
      <c r="C221" s="6">
        <v>45981</v>
      </c>
      <c r="D221" t="s">
        <v>421</v>
      </c>
      <c r="E221" t="s">
        <v>420</v>
      </c>
      <c r="F221" t="s">
        <v>322</v>
      </c>
      <c r="G221" t="s">
        <v>49</v>
      </c>
      <c r="H221" t="s">
        <v>50</v>
      </c>
      <c r="I221" s="7"/>
      <c r="J221" s="7">
        <v>296040</v>
      </c>
      <c r="K221" t="s">
        <v>34</v>
      </c>
    </row>
    <row r="222" spans="1:12" x14ac:dyDescent="0.25">
      <c r="A222" t="s">
        <v>616</v>
      </c>
      <c r="B222" t="s">
        <v>422</v>
      </c>
      <c r="C222" s="6">
        <v>45986</v>
      </c>
      <c r="D222" t="s">
        <v>424</v>
      </c>
      <c r="E222" t="s">
        <v>423</v>
      </c>
      <c r="F222" t="s">
        <v>209</v>
      </c>
      <c r="G222" t="s">
        <v>29</v>
      </c>
      <c r="H222" t="s">
        <v>30</v>
      </c>
      <c r="I222" s="7">
        <v>175230</v>
      </c>
      <c r="J222" s="7"/>
      <c r="K222" t="s">
        <v>207</v>
      </c>
      <c r="L222">
        <v>18</v>
      </c>
    </row>
    <row r="223" spans="1:12" x14ac:dyDescent="0.25">
      <c r="A223" t="s">
        <v>616</v>
      </c>
      <c r="B223" t="s">
        <v>422</v>
      </c>
      <c r="C223" s="6">
        <v>45986</v>
      </c>
      <c r="D223" t="s">
        <v>424</v>
      </c>
      <c r="E223" t="s">
        <v>423</v>
      </c>
      <c r="F223" t="s">
        <v>209</v>
      </c>
      <c r="G223" t="s">
        <v>93</v>
      </c>
      <c r="H223" t="s">
        <v>94</v>
      </c>
      <c r="I223" s="7"/>
      <c r="J223" s="7">
        <v>148500</v>
      </c>
      <c r="K223" t="s">
        <v>34</v>
      </c>
      <c r="L223">
        <v>18</v>
      </c>
    </row>
    <row r="224" spans="1:12" x14ac:dyDescent="0.25">
      <c r="A224" t="s">
        <v>616</v>
      </c>
      <c r="B224" t="s">
        <v>422</v>
      </c>
      <c r="C224" s="6">
        <v>45986</v>
      </c>
      <c r="D224" t="s">
        <v>424</v>
      </c>
      <c r="E224" t="s">
        <v>423</v>
      </c>
      <c r="F224" t="s">
        <v>209</v>
      </c>
      <c r="G224" t="s">
        <v>78</v>
      </c>
      <c r="H224" t="s">
        <v>79</v>
      </c>
      <c r="I224" s="7"/>
      <c r="J224" s="7">
        <v>26730</v>
      </c>
      <c r="K224" t="s">
        <v>34</v>
      </c>
      <c r="L224">
        <v>18</v>
      </c>
    </row>
    <row r="225" spans="1:12" x14ac:dyDescent="0.25">
      <c r="A225" t="s">
        <v>616</v>
      </c>
      <c r="B225" t="s">
        <v>422</v>
      </c>
      <c r="C225" s="6">
        <v>45986</v>
      </c>
      <c r="D225" t="s">
        <v>424</v>
      </c>
      <c r="E225" t="s">
        <v>423</v>
      </c>
      <c r="F225" t="s">
        <v>209</v>
      </c>
      <c r="G225" t="s">
        <v>101</v>
      </c>
      <c r="H225" t="s">
        <v>102</v>
      </c>
      <c r="I225" s="7">
        <v>85329.73</v>
      </c>
      <c r="J225" s="7"/>
      <c r="K225" t="s">
        <v>34</v>
      </c>
      <c r="L225">
        <v>18</v>
      </c>
    </row>
    <row r="226" spans="1:12" x14ac:dyDescent="0.25">
      <c r="A226" t="s">
        <v>616</v>
      </c>
      <c r="B226" t="s">
        <v>422</v>
      </c>
      <c r="C226" s="6">
        <v>45986</v>
      </c>
      <c r="D226" t="s">
        <v>424</v>
      </c>
      <c r="E226" t="s">
        <v>423</v>
      </c>
      <c r="F226" t="s">
        <v>209</v>
      </c>
      <c r="G226" t="s">
        <v>44</v>
      </c>
      <c r="H226" t="s">
        <v>45</v>
      </c>
      <c r="I226" s="7"/>
      <c r="J226" s="7">
        <v>85329.73</v>
      </c>
      <c r="K226" t="s">
        <v>34</v>
      </c>
      <c r="L226">
        <v>18</v>
      </c>
    </row>
    <row r="227" spans="1:12" x14ac:dyDescent="0.25">
      <c r="A227" t="s">
        <v>617</v>
      </c>
      <c r="B227" t="s">
        <v>425</v>
      </c>
      <c r="C227" s="6">
        <v>45991</v>
      </c>
      <c r="D227" t="s">
        <v>427</v>
      </c>
      <c r="E227" t="s">
        <v>426</v>
      </c>
      <c r="F227" t="s">
        <v>232</v>
      </c>
      <c r="G227" t="s">
        <v>105</v>
      </c>
      <c r="H227" t="s">
        <v>106</v>
      </c>
      <c r="I227" s="7">
        <v>40000</v>
      </c>
      <c r="J227" s="7"/>
      <c r="K227" t="s">
        <v>34</v>
      </c>
    </row>
    <row r="228" spans="1:12" x14ac:dyDescent="0.25">
      <c r="A228" t="s">
        <v>617</v>
      </c>
      <c r="B228" t="s">
        <v>425</v>
      </c>
      <c r="C228" s="6">
        <v>45991</v>
      </c>
      <c r="D228" t="s">
        <v>427</v>
      </c>
      <c r="E228" t="s">
        <v>426</v>
      </c>
      <c r="F228" t="s">
        <v>232</v>
      </c>
      <c r="G228" t="s">
        <v>74</v>
      </c>
      <c r="H228" t="s">
        <v>75</v>
      </c>
      <c r="I228" s="7"/>
      <c r="J228" s="7">
        <v>37000</v>
      </c>
      <c r="K228" t="s">
        <v>34</v>
      </c>
    </row>
    <row r="229" spans="1:12" x14ac:dyDescent="0.25">
      <c r="A229" t="s">
        <v>617</v>
      </c>
      <c r="B229" t="s">
        <v>425</v>
      </c>
      <c r="C229" s="6">
        <v>45991</v>
      </c>
      <c r="D229" t="s">
        <v>427</v>
      </c>
      <c r="E229" t="s">
        <v>426</v>
      </c>
      <c r="F229" t="s">
        <v>232</v>
      </c>
      <c r="G229" t="s">
        <v>80</v>
      </c>
      <c r="H229" t="s">
        <v>81</v>
      </c>
      <c r="I229" s="7"/>
      <c r="J229" s="7">
        <v>3000</v>
      </c>
      <c r="K229" t="s">
        <v>34</v>
      </c>
    </row>
    <row r="230" spans="1:12" x14ac:dyDescent="0.25">
      <c r="A230" t="s">
        <v>618</v>
      </c>
      <c r="B230" t="s">
        <v>428</v>
      </c>
      <c r="C230" s="6">
        <v>45993</v>
      </c>
      <c r="D230" t="s">
        <v>430</v>
      </c>
      <c r="E230" t="s">
        <v>429</v>
      </c>
      <c r="F230" t="s">
        <v>232</v>
      </c>
      <c r="G230" t="s">
        <v>74</v>
      </c>
      <c r="H230" t="s">
        <v>75</v>
      </c>
      <c r="I230" s="7">
        <v>37000</v>
      </c>
      <c r="J230" s="7"/>
      <c r="K230" t="s">
        <v>34</v>
      </c>
    </row>
    <row r="231" spans="1:12" x14ac:dyDescent="0.25">
      <c r="A231" t="s">
        <v>618</v>
      </c>
      <c r="B231" t="s">
        <v>428</v>
      </c>
      <c r="C231" s="6">
        <v>45993</v>
      </c>
      <c r="D231" t="s">
        <v>430</v>
      </c>
      <c r="E231" t="s">
        <v>429</v>
      </c>
      <c r="F231" t="s">
        <v>232</v>
      </c>
      <c r="G231" t="s">
        <v>37</v>
      </c>
      <c r="H231" t="s">
        <v>38</v>
      </c>
      <c r="I231" s="7"/>
      <c r="J231" s="7">
        <v>37000</v>
      </c>
      <c r="K231" t="s">
        <v>34</v>
      </c>
    </row>
    <row r="232" spans="1:12" x14ac:dyDescent="0.25">
      <c r="A232" t="s">
        <v>619</v>
      </c>
      <c r="B232" t="s">
        <v>431</v>
      </c>
      <c r="C232" s="6">
        <v>45996</v>
      </c>
      <c r="D232" t="s">
        <v>433</v>
      </c>
      <c r="E232" t="s">
        <v>432</v>
      </c>
      <c r="F232" t="s">
        <v>434</v>
      </c>
      <c r="G232" t="s">
        <v>35</v>
      </c>
      <c r="H232" t="s">
        <v>36</v>
      </c>
      <c r="I232" s="7">
        <v>350000</v>
      </c>
      <c r="J232" s="7"/>
      <c r="K232" t="s">
        <v>34</v>
      </c>
    </row>
    <row r="233" spans="1:12" x14ac:dyDescent="0.25">
      <c r="A233" t="s">
        <v>619</v>
      </c>
      <c r="B233" t="s">
        <v>431</v>
      </c>
      <c r="C233" s="6">
        <v>45996</v>
      </c>
      <c r="D233" t="s">
        <v>433</v>
      </c>
      <c r="E233" t="s">
        <v>432</v>
      </c>
      <c r="F233" t="s">
        <v>434</v>
      </c>
      <c r="G233" t="s">
        <v>29</v>
      </c>
      <c r="H233" t="s">
        <v>30</v>
      </c>
      <c r="I233" s="7"/>
      <c r="J233" s="7">
        <v>350000</v>
      </c>
      <c r="K233" t="s">
        <v>34</v>
      </c>
    </row>
    <row r="234" spans="1:12" x14ac:dyDescent="0.25">
      <c r="A234" t="s">
        <v>620</v>
      </c>
      <c r="B234" t="s">
        <v>435</v>
      </c>
      <c r="C234" s="6">
        <v>46001</v>
      </c>
      <c r="D234" t="s">
        <v>437</v>
      </c>
      <c r="E234" t="s">
        <v>436</v>
      </c>
      <c r="F234" t="s">
        <v>209</v>
      </c>
      <c r="G234" t="s">
        <v>35</v>
      </c>
      <c r="H234" t="s">
        <v>36</v>
      </c>
      <c r="I234" s="7">
        <v>369600</v>
      </c>
      <c r="J234" s="7"/>
      <c r="K234" t="s">
        <v>207</v>
      </c>
      <c r="L234">
        <v>12</v>
      </c>
    </row>
    <row r="235" spans="1:12" x14ac:dyDescent="0.25">
      <c r="A235" t="s">
        <v>620</v>
      </c>
      <c r="B235" t="s">
        <v>435</v>
      </c>
      <c r="C235" s="6">
        <v>46001</v>
      </c>
      <c r="D235" t="s">
        <v>437</v>
      </c>
      <c r="E235" t="s">
        <v>436</v>
      </c>
      <c r="F235" t="s">
        <v>209</v>
      </c>
      <c r="G235" t="s">
        <v>93</v>
      </c>
      <c r="H235" t="s">
        <v>94</v>
      </c>
      <c r="I235" s="7"/>
      <c r="J235" s="7">
        <v>330000</v>
      </c>
      <c r="K235" t="s">
        <v>34</v>
      </c>
      <c r="L235">
        <v>12</v>
      </c>
    </row>
    <row r="236" spans="1:12" x14ac:dyDescent="0.25">
      <c r="A236" t="s">
        <v>620</v>
      </c>
      <c r="B236" t="s">
        <v>435</v>
      </c>
      <c r="C236" s="6">
        <v>46001</v>
      </c>
      <c r="D236" t="s">
        <v>437</v>
      </c>
      <c r="E236" t="s">
        <v>436</v>
      </c>
      <c r="F236" t="s">
        <v>209</v>
      </c>
      <c r="G236" t="s">
        <v>78</v>
      </c>
      <c r="H236" t="s">
        <v>79</v>
      </c>
      <c r="I236" s="7"/>
      <c r="J236" s="7">
        <v>39600</v>
      </c>
      <c r="K236" t="s">
        <v>34</v>
      </c>
      <c r="L236">
        <v>12</v>
      </c>
    </row>
    <row r="237" spans="1:12" x14ac:dyDescent="0.25">
      <c r="A237" t="s">
        <v>620</v>
      </c>
      <c r="B237" t="s">
        <v>435</v>
      </c>
      <c r="C237" s="6">
        <v>46001</v>
      </c>
      <c r="D237" t="s">
        <v>437</v>
      </c>
      <c r="E237" t="s">
        <v>436</v>
      </c>
      <c r="F237" t="s">
        <v>209</v>
      </c>
      <c r="G237" t="s">
        <v>101</v>
      </c>
      <c r="H237" t="s">
        <v>102</v>
      </c>
      <c r="I237" s="7">
        <v>182608.69</v>
      </c>
      <c r="J237" s="7"/>
      <c r="K237" t="s">
        <v>34</v>
      </c>
      <c r="L237">
        <v>12</v>
      </c>
    </row>
    <row r="238" spans="1:12" x14ac:dyDescent="0.25">
      <c r="A238" t="s">
        <v>620</v>
      </c>
      <c r="B238" t="s">
        <v>435</v>
      </c>
      <c r="C238" s="6">
        <v>46001</v>
      </c>
      <c r="D238" t="s">
        <v>437</v>
      </c>
      <c r="E238" t="s">
        <v>436</v>
      </c>
      <c r="F238" t="s">
        <v>209</v>
      </c>
      <c r="G238" t="s">
        <v>44</v>
      </c>
      <c r="H238" t="s">
        <v>45</v>
      </c>
      <c r="I238" s="7"/>
      <c r="J238" s="7">
        <v>182608.69</v>
      </c>
      <c r="K238" t="s">
        <v>34</v>
      </c>
      <c r="L238">
        <v>12</v>
      </c>
    </row>
    <row r="239" spans="1:12" x14ac:dyDescent="0.25">
      <c r="A239" t="s">
        <v>621</v>
      </c>
      <c r="B239" t="s">
        <v>438</v>
      </c>
      <c r="C239" s="6">
        <v>46006</v>
      </c>
      <c r="D239" t="s">
        <v>440</v>
      </c>
      <c r="E239" t="s">
        <v>439</v>
      </c>
      <c r="F239" t="s">
        <v>365</v>
      </c>
      <c r="G239" t="s">
        <v>76</v>
      </c>
      <c r="H239" t="s">
        <v>77</v>
      </c>
      <c r="I239" s="7">
        <v>100000</v>
      </c>
      <c r="J239" s="7"/>
      <c r="K239" t="s">
        <v>34</v>
      </c>
    </row>
    <row r="240" spans="1:12" x14ac:dyDescent="0.25">
      <c r="A240" t="s">
        <v>621</v>
      </c>
      <c r="B240" t="s">
        <v>438</v>
      </c>
      <c r="C240" s="6">
        <v>46006</v>
      </c>
      <c r="D240" t="s">
        <v>440</v>
      </c>
      <c r="E240" t="s">
        <v>439</v>
      </c>
      <c r="F240" t="s">
        <v>365</v>
      </c>
      <c r="G240" t="s">
        <v>118</v>
      </c>
      <c r="H240" t="s">
        <v>119</v>
      </c>
      <c r="I240" s="7">
        <v>19200</v>
      </c>
      <c r="J240" s="7"/>
      <c r="K240" t="s">
        <v>34</v>
      </c>
    </row>
    <row r="241" spans="1:12" x14ac:dyDescent="0.25">
      <c r="A241" t="s">
        <v>621</v>
      </c>
      <c r="B241" t="s">
        <v>438</v>
      </c>
      <c r="C241" s="6">
        <v>46006</v>
      </c>
      <c r="D241" t="s">
        <v>440</v>
      </c>
      <c r="E241" t="s">
        <v>439</v>
      </c>
      <c r="F241" t="s">
        <v>365</v>
      </c>
      <c r="G241" t="s">
        <v>35</v>
      </c>
      <c r="H241" t="s">
        <v>36</v>
      </c>
      <c r="I241" s="7"/>
      <c r="J241" s="7">
        <v>119200</v>
      </c>
      <c r="K241" t="s">
        <v>34</v>
      </c>
    </row>
    <row r="242" spans="1:12" x14ac:dyDescent="0.25">
      <c r="A242" t="s">
        <v>622</v>
      </c>
      <c r="B242" t="s">
        <v>441</v>
      </c>
      <c r="C242" s="6">
        <v>46011</v>
      </c>
      <c r="D242" t="s">
        <v>444</v>
      </c>
      <c r="E242" t="s">
        <v>443</v>
      </c>
      <c r="F242" t="s">
        <v>445</v>
      </c>
      <c r="G242" t="s">
        <v>35</v>
      </c>
      <c r="H242" t="s">
        <v>36</v>
      </c>
      <c r="I242" s="7">
        <v>54500</v>
      </c>
      <c r="J242" s="7"/>
      <c r="K242" t="s">
        <v>34</v>
      </c>
    </row>
    <row r="243" spans="1:12" x14ac:dyDescent="0.25">
      <c r="A243" t="s">
        <v>622</v>
      </c>
      <c r="B243" t="s">
        <v>441</v>
      </c>
      <c r="C243" s="6">
        <v>46011</v>
      </c>
      <c r="D243" t="s">
        <v>444</v>
      </c>
      <c r="E243" t="s">
        <v>443</v>
      </c>
      <c r="F243" t="s">
        <v>445</v>
      </c>
      <c r="G243" t="s">
        <v>52</v>
      </c>
      <c r="H243" t="s">
        <v>53</v>
      </c>
      <c r="I243" s="7"/>
      <c r="J243" s="7">
        <v>50000</v>
      </c>
      <c r="K243" t="s">
        <v>282</v>
      </c>
    </row>
    <row r="244" spans="1:12" x14ac:dyDescent="0.25">
      <c r="A244" t="s">
        <v>622</v>
      </c>
      <c r="B244" t="s">
        <v>441</v>
      </c>
      <c r="C244" s="6">
        <v>46011</v>
      </c>
      <c r="D244" t="s">
        <v>444</v>
      </c>
      <c r="E244" t="s">
        <v>443</v>
      </c>
      <c r="F244" t="s">
        <v>445</v>
      </c>
      <c r="G244" t="s">
        <v>99</v>
      </c>
      <c r="H244" t="s">
        <v>100</v>
      </c>
      <c r="I244" s="7"/>
      <c r="J244" s="7">
        <v>4500</v>
      </c>
      <c r="K244" t="s">
        <v>34</v>
      </c>
    </row>
    <row r="245" spans="1:12" x14ac:dyDescent="0.25">
      <c r="A245" t="s">
        <v>623</v>
      </c>
      <c r="B245" t="s">
        <v>446</v>
      </c>
      <c r="C245" s="6">
        <v>46022</v>
      </c>
      <c r="D245" t="s">
        <v>448</v>
      </c>
      <c r="E245" t="s">
        <v>447</v>
      </c>
      <c r="F245" t="s">
        <v>47</v>
      </c>
      <c r="G245" t="s">
        <v>108</v>
      </c>
      <c r="H245" t="s">
        <v>109</v>
      </c>
      <c r="I245" s="7">
        <v>66000</v>
      </c>
      <c r="J245" s="7"/>
      <c r="K245" t="s">
        <v>34</v>
      </c>
    </row>
    <row r="246" spans="1:12" x14ac:dyDescent="0.25">
      <c r="A246" t="s">
        <v>623</v>
      </c>
      <c r="B246" t="s">
        <v>446</v>
      </c>
      <c r="C246" s="6">
        <v>46022</v>
      </c>
      <c r="D246" t="s">
        <v>448</v>
      </c>
      <c r="E246" t="s">
        <v>447</v>
      </c>
      <c r="F246" t="s">
        <v>47</v>
      </c>
      <c r="G246" t="s">
        <v>46</v>
      </c>
      <c r="H246" t="s">
        <v>47</v>
      </c>
      <c r="I246" s="7"/>
      <c r="J246" s="7">
        <v>66000</v>
      </c>
      <c r="K246" t="s">
        <v>34</v>
      </c>
    </row>
    <row r="247" spans="1:12" x14ac:dyDescent="0.25">
      <c r="A247" t="s">
        <v>624</v>
      </c>
      <c r="B247" t="s">
        <v>449</v>
      </c>
      <c r="C247" s="6">
        <v>46022</v>
      </c>
      <c r="D247" t="s">
        <v>451</v>
      </c>
      <c r="E247" t="s">
        <v>450</v>
      </c>
      <c r="F247" t="s">
        <v>304</v>
      </c>
      <c r="G247" t="s">
        <v>114</v>
      </c>
      <c r="H247" t="s">
        <v>115</v>
      </c>
      <c r="I247" s="7">
        <v>26339.73</v>
      </c>
      <c r="J247" s="7"/>
      <c r="K247" t="s">
        <v>34</v>
      </c>
    </row>
    <row r="248" spans="1:12" x14ac:dyDescent="0.25">
      <c r="A248" t="s">
        <v>624</v>
      </c>
      <c r="B248" t="s">
        <v>449</v>
      </c>
      <c r="C248" s="6">
        <v>46022</v>
      </c>
      <c r="D248" t="s">
        <v>451</v>
      </c>
      <c r="E248" t="s">
        <v>450</v>
      </c>
      <c r="F248" t="s">
        <v>304</v>
      </c>
      <c r="G248" t="s">
        <v>58</v>
      </c>
      <c r="H248" t="s">
        <v>59</v>
      </c>
      <c r="I248" s="7"/>
      <c r="J248" s="7">
        <v>3528.77</v>
      </c>
      <c r="K248" t="s">
        <v>34</v>
      </c>
    </row>
    <row r="249" spans="1:12" x14ac:dyDescent="0.25">
      <c r="A249" t="s">
        <v>624</v>
      </c>
      <c r="B249" t="s">
        <v>449</v>
      </c>
      <c r="C249" s="6">
        <v>46022</v>
      </c>
      <c r="D249" t="s">
        <v>451</v>
      </c>
      <c r="E249" t="s">
        <v>450</v>
      </c>
      <c r="F249" t="s">
        <v>304</v>
      </c>
      <c r="G249" t="s">
        <v>64</v>
      </c>
      <c r="H249" t="s">
        <v>65</v>
      </c>
      <c r="I249" s="7"/>
      <c r="J249" s="7">
        <v>9578.08</v>
      </c>
      <c r="K249" t="s">
        <v>34</v>
      </c>
    </row>
    <row r="250" spans="1:12" x14ac:dyDescent="0.25">
      <c r="A250" t="s">
        <v>624</v>
      </c>
      <c r="B250" t="s">
        <v>449</v>
      </c>
      <c r="C250" s="6">
        <v>46022</v>
      </c>
      <c r="D250" t="s">
        <v>451</v>
      </c>
      <c r="E250" t="s">
        <v>450</v>
      </c>
      <c r="F250" t="s">
        <v>304</v>
      </c>
      <c r="G250" t="s">
        <v>68</v>
      </c>
      <c r="H250" t="s">
        <v>69</v>
      </c>
      <c r="I250" s="7"/>
      <c r="J250" s="7">
        <v>13232.88</v>
      </c>
      <c r="K250" t="s">
        <v>34</v>
      </c>
    </row>
    <row r="251" spans="1:12" x14ac:dyDescent="0.25">
      <c r="A251" t="s">
        <v>625</v>
      </c>
      <c r="B251" t="s">
        <v>452</v>
      </c>
      <c r="C251" s="6">
        <v>46022</v>
      </c>
      <c r="D251" t="s">
        <v>454</v>
      </c>
      <c r="E251" t="s">
        <v>453</v>
      </c>
      <c r="F251" t="s">
        <v>232</v>
      </c>
      <c r="G251" t="s">
        <v>105</v>
      </c>
      <c r="H251" t="s">
        <v>106</v>
      </c>
      <c r="I251" s="7">
        <v>40000</v>
      </c>
      <c r="J251" s="7"/>
      <c r="K251" t="s">
        <v>34</v>
      </c>
    </row>
    <row r="252" spans="1:12" x14ac:dyDescent="0.25">
      <c r="A252" t="s">
        <v>625</v>
      </c>
      <c r="B252" t="s">
        <v>452</v>
      </c>
      <c r="C252" s="6">
        <v>46022</v>
      </c>
      <c r="D252" t="s">
        <v>454</v>
      </c>
      <c r="E252" t="s">
        <v>453</v>
      </c>
      <c r="F252" t="s">
        <v>232</v>
      </c>
      <c r="G252" t="s">
        <v>74</v>
      </c>
      <c r="H252" t="s">
        <v>75</v>
      </c>
      <c r="I252" s="7"/>
      <c r="J252" s="7">
        <v>37000</v>
      </c>
      <c r="K252" t="s">
        <v>34</v>
      </c>
    </row>
    <row r="253" spans="1:12" x14ac:dyDescent="0.25">
      <c r="A253" t="s">
        <v>625</v>
      </c>
      <c r="B253" t="s">
        <v>452</v>
      </c>
      <c r="C253" s="6">
        <v>46022</v>
      </c>
      <c r="D253" t="s">
        <v>454</v>
      </c>
      <c r="E253" t="s">
        <v>453</v>
      </c>
      <c r="F253" t="s">
        <v>232</v>
      </c>
      <c r="G253" t="s">
        <v>80</v>
      </c>
      <c r="H253" t="s">
        <v>81</v>
      </c>
      <c r="I253" s="7"/>
      <c r="J253" s="7">
        <v>3000</v>
      </c>
      <c r="K253" t="s">
        <v>34</v>
      </c>
    </row>
    <row r="254" spans="1:12" x14ac:dyDescent="0.25">
      <c r="A254" t="s">
        <v>626</v>
      </c>
      <c r="B254" t="s">
        <v>455</v>
      </c>
      <c r="C254" s="6">
        <v>46024</v>
      </c>
      <c r="D254" t="s">
        <v>457</v>
      </c>
      <c r="E254" t="s">
        <v>456</v>
      </c>
      <c r="F254" t="s">
        <v>232</v>
      </c>
      <c r="G254" t="s">
        <v>74</v>
      </c>
      <c r="H254" t="s">
        <v>75</v>
      </c>
      <c r="I254" s="7">
        <v>37000</v>
      </c>
      <c r="J254" s="7"/>
      <c r="K254" t="s">
        <v>34</v>
      </c>
    </row>
    <row r="255" spans="1:12" x14ac:dyDescent="0.25">
      <c r="A255" t="s">
        <v>626</v>
      </c>
      <c r="B255" t="s">
        <v>455</v>
      </c>
      <c r="C255" s="6">
        <v>46024</v>
      </c>
      <c r="D255" t="s">
        <v>457</v>
      </c>
      <c r="E255" t="s">
        <v>456</v>
      </c>
      <c r="F255" t="s">
        <v>232</v>
      </c>
      <c r="G255" t="s">
        <v>37</v>
      </c>
      <c r="H255" t="s">
        <v>38</v>
      </c>
      <c r="I255" s="7"/>
      <c r="J255" s="7">
        <v>37000</v>
      </c>
      <c r="K255" t="s">
        <v>34</v>
      </c>
    </row>
    <row r="256" spans="1:12" x14ac:dyDescent="0.25">
      <c r="A256" t="s">
        <v>627</v>
      </c>
      <c r="B256" t="s">
        <v>458</v>
      </c>
      <c r="C256" s="6">
        <v>46032</v>
      </c>
      <c r="D256" t="s">
        <v>460</v>
      </c>
      <c r="E256" t="s">
        <v>459</v>
      </c>
      <c r="F256" t="s">
        <v>221</v>
      </c>
      <c r="G256" t="s">
        <v>110</v>
      </c>
      <c r="H256" t="s">
        <v>111</v>
      </c>
      <c r="I256" s="7">
        <v>24000</v>
      </c>
      <c r="J256" s="7"/>
      <c r="K256" t="s">
        <v>34</v>
      </c>
      <c r="L256">
        <v>0</v>
      </c>
    </row>
    <row r="257" spans="1:12" x14ac:dyDescent="0.25">
      <c r="A257" t="s">
        <v>627</v>
      </c>
      <c r="B257" t="s">
        <v>458</v>
      </c>
      <c r="C257" s="6">
        <v>46032</v>
      </c>
      <c r="D257" t="s">
        <v>460</v>
      </c>
      <c r="E257" t="s">
        <v>459</v>
      </c>
      <c r="F257" t="s">
        <v>221</v>
      </c>
      <c r="G257" t="s">
        <v>37</v>
      </c>
      <c r="H257" t="s">
        <v>38</v>
      </c>
      <c r="I257" s="7"/>
      <c r="J257" s="7">
        <v>24000</v>
      </c>
      <c r="K257" t="s">
        <v>219</v>
      </c>
      <c r="L257">
        <v>0</v>
      </c>
    </row>
    <row r="258" spans="1:12" x14ac:dyDescent="0.25">
      <c r="A258" t="s">
        <v>628</v>
      </c>
      <c r="B258" t="s">
        <v>461</v>
      </c>
      <c r="C258" s="6">
        <v>46037</v>
      </c>
      <c r="D258" t="s">
        <v>463</v>
      </c>
      <c r="E258" t="s">
        <v>462</v>
      </c>
      <c r="F258" t="s">
        <v>209</v>
      </c>
      <c r="G258" t="s">
        <v>37</v>
      </c>
      <c r="H258" t="s">
        <v>38</v>
      </c>
      <c r="I258" s="7">
        <v>147500</v>
      </c>
      <c r="J258" s="7"/>
      <c r="K258" t="s">
        <v>207</v>
      </c>
      <c r="L258">
        <v>18</v>
      </c>
    </row>
    <row r="259" spans="1:12" x14ac:dyDescent="0.25">
      <c r="A259" t="s">
        <v>628</v>
      </c>
      <c r="B259" t="s">
        <v>461</v>
      </c>
      <c r="C259" s="6">
        <v>46037</v>
      </c>
      <c r="D259" t="s">
        <v>463</v>
      </c>
      <c r="E259" t="s">
        <v>462</v>
      </c>
      <c r="F259" t="s">
        <v>209</v>
      </c>
      <c r="G259" t="s">
        <v>93</v>
      </c>
      <c r="H259" t="s">
        <v>94</v>
      </c>
      <c r="I259" s="7"/>
      <c r="J259" s="7">
        <v>125000</v>
      </c>
      <c r="K259" t="s">
        <v>34</v>
      </c>
      <c r="L259">
        <v>18</v>
      </c>
    </row>
    <row r="260" spans="1:12" x14ac:dyDescent="0.25">
      <c r="A260" t="s">
        <v>628</v>
      </c>
      <c r="B260" t="s">
        <v>461</v>
      </c>
      <c r="C260" s="6">
        <v>46037</v>
      </c>
      <c r="D260" t="s">
        <v>463</v>
      </c>
      <c r="E260" t="s">
        <v>462</v>
      </c>
      <c r="F260" t="s">
        <v>209</v>
      </c>
      <c r="G260" t="s">
        <v>78</v>
      </c>
      <c r="H260" t="s">
        <v>79</v>
      </c>
      <c r="I260" s="7"/>
      <c r="J260" s="7">
        <v>22500</v>
      </c>
      <c r="K260" t="s">
        <v>34</v>
      </c>
      <c r="L260">
        <v>18</v>
      </c>
    </row>
    <row r="261" spans="1:12" x14ac:dyDescent="0.25">
      <c r="A261" t="s">
        <v>628</v>
      </c>
      <c r="B261" t="s">
        <v>461</v>
      </c>
      <c r="C261" s="6">
        <v>46037</v>
      </c>
      <c r="D261" t="s">
        <v>463</v>
      </c>
      <c r="E261" t="s">
        <v>462</v>
      </c>
      <c r="F261" t="s">
        <v>209</v>
      </c>
      <c r="G261" t="s">
        <v>101</v>
      </c>
      <c r="H261" t="s">
        <v>102</v>
      </c>
      <c r="I261" s="7">
        <v>65476.19</v>
      </c>
      <c r="J261" s="7"/>
      <c r="K261" t="s">
        <v>34</v>
      </c>
      <c r="L261">
        <v>18</v>
      </c>
    </row>
    <row r="262" spans="1:12" x14ac:dyDescent="0.25">
      <c r="A262" t="s">
        <v>628</v>
      </c>
      <c r="B262" t="s">
        <v>461</v>
      </c>
      <c r="C262" s="6">
        <v>46037</v>
      </c>
      <c r="D262" t="s">
        <v>463</v>
      </c>
      <c r="E262" t="s">
        <v>462</v>
      </c>
      <c r="F262" t="s">
        <v>209</v>
      </c>
      <c r="G262" t="s">
        <v>44</v>
      </c>
      <c r="H262" t="s">
        <v>45</v>
      </c>
      <c r="I262" s="7"/>
      <c r="J262" s="7">
        <v>65476.19</v>
      </c>
      <c r="K262" t="s">
        <v>34</v>
      </c>
      <c r="L262">
        <v>18</v>
      </c>
    </row>
    <row r="263" spans="1:12" x14ac:dyDescent="0.25">
      <c r="A263" t="s">
        <v>629</v>
      </c>
      <c r="B263" t="s">
        <v>464</v>
      </c>
      <c r="C263" s="6">
        <v>46040</v>
      </c>
      <c r="D263" t="s">
        <v>466</v>
      </c>
      <c r="E263" t="s">
        <v>465</v>
      </c>
      <c r="F263" t="s">
        <v>98</v>
      </c>
      <c r="G263" t="s">
        <v>29</v>
      </c>
      <c r="H263" t="s">
        <v>30</v>
      </c>
      <c r="I263" s="7">
        <v>12000</v>
      </c>
      <c r="J263" s="7"/>
      <c r="K263" t="s">
        <v>207</v>
      </c>
      <c r="L263">
        <v>0</v>
      </c>
    </row>
    <row r="264" spans="1:12" x14ac:dyDescent="0.25">
      <c r="A264" t="s">
        <v>629</v>
      </c>
      <c r="B264" t="s">
        <v>464</v>
      </c>
      <c r="C264" s="6">
        <v>46040</v>
      </c>
      <c r="D264" t="s">
        <v>466</v>
      </c>
      <c r="E264" t="s">
        <v>465</v>
      </c>
      <c r="F264" t="s">
        <v>98</v>
      </c>
      <c r="G264" t="s">
        <v>97</v>
      </c>
      <c r="H264" t="s">
        <v>98</v>
      </c>
      <c r="I264" s="7"/>
      <c r="J264" s="7">
        <v>12000</v>
      </c>
      <c r="K264" t="s">
        <v>34</v>
      </c>
      <c r="L264">
        <v>0</v>
      </c>
    </row>
    <row r="265" spans="1:12" x14ac:dyDescent="0.25">
      <c r="A265" t="s">
        <v>630</v>
      </c>
      <c r="B265" t="s">
        <v>468</v>
      </c>
      <c r="C265" s="6">
        <v>46042</v>
      </c>
      <c r="D265" t="s">
        <v>470</v>
      </c>
      <c r="E265" t="s">
        <v>469</v>
      </c>
      <c r="F265" t="s">
        <v>251</v>
      </c>
      <c r="G265" t="s">
        <v>35</v>
      </c>
      <c r="H265" t="s">
        <v>36</v>
      </c>
      <c r="I265" s="7">
        <v>118380</v>
      </c>
      <c r="J265" s="7"/>
      <c r="K265" t="s">
        <v>212</v>
      </c>
    </row>
    <row r="266" spans="1:12" x14ac:dyDescent="0.25">
      <c r="A266" t="s">
        <v>630</v>
      </c>
      <c r="B266" t="s">
        <v>468</v>
      </c>
      <c r="C266" s="6">
        <v>46042</v>
      </c>
      <c r="D266" t="s">
        <v>470</v>
      </c>
      <c r="E266" t="s">
        <v>469</v>
      </c>
      <c r="F266" t="s">
        <v>251</v>
      </c>
      <c r="G266" t="s">
        <v>39</v>
      </c>
      <c r="H266" t="s">
        <v>40</v>
      </c>
      <c r="I266" s="7"/>
      <c r="J266" s="7">
        <v>118380</v>
      </c>
      <c r="K266" t="s">
        <v>212</v>
      </c>
    </row>
    <row r="267" spans="1:12" x14ac:dyDescent="0.25">
      <c r="A267" t="s">
        <v>631</v>
      </c>
      <c r="B267" t="s">
        <v>471</v>
      </c>
      <c r="C267" s="6">
        <v>46044</v>
      </c>
      <c r="D267" t="s">
        <v>473</v>
      </c>
      <c r="E267" t="s">
        <v>472</v>
      </c>
      <c r="F267" t="s">
        <v>322</v>
      </c>
      <c r="G267" t="s">
        <v>78</v>
      </c>
      <c r="H267" t="s">
        <v>79</v>
      </c>
      <c r="I267" s="7">
        <v>88830</v>
      </c>
      <c r="J267" s="7"/>
      <c r="K267" t="s">
        <v>34</v>
      </c>
    </row>
    <row r="268" spans="1:12" x14ac:dyDescent="0.25">
      <c r="A268" t="s">
        <v>631</v>
      </c>
      <c r="B268" t="s">
        <v>471</v>
      </c>
      <c r="C268" s="6">
        <v>46044</v>
      </c>
      <c r="D268" t="s">
        <v>473</v>
      </c>
      <c r="E268" t="s">
        <v>472</v>
      </c>
      <c r="F268" t="s">
        <v>322</v>
      </c>
      <c r="G268" t="s">
        <v>49</v>
      </c>
      <c r="H268" t="s">
        <v>50</v>
      </c>
      <c r="I268" s="7"/>
      <c r="J268" s="7">
        <v>88830</v>
      </c>
      <c r="K268" t="s">
        <v>34</v>
      </c>
    </row>
    <row r="269" spans="1:12" x14ac:dyDescent="0.25">
      <c r="A269" t="s">
        <v>632</v>
      </c>
      <c r="B269" t="s">
        <v>474</v>
      </c>
      <c r="C269" s="6">
        <v>46047</v>
      </c>
      <c r="D269" t="s">
        <v>476</v>
      </c>
      <c r="E269" t="s">
        <v>475</v>
      </c>
      <c r="F269" t="s">
        <v>191</v>
      </c>
      <c r="G269" t="s">
        <v>44</v>
      </c>
      <c r="H269" t="s">
        <v>45</v>
      </c>
      <c r="I269" s="7">
        <v>282000</v>
      </c>
      <c r="J269" s="7"/>
      <c r="K269" t="s">
        <v>34</v>
      </c>
      <c r="L269">
        <v>12</v>
      </c>
    </row>
    <row r="270" spans="1:12" x14ac:dyDescent="0.25">
      <c r="A270" t="s">
        <v>632</v>
      </c>
      <c r="B270" t="s">
        <v>474</v>
      </c>
      <c r="C270" s="6">
        <v>46047</v>
      </c>
      <c r="D270" t="s">
        <v>476</v>
      </c>
      <c r="E270" t="s">
        <v>475</v>
      </c>
      <c r="F270" t="s">
        <v>191</v>
      </c>
      <c r="G270" t="s">
        <v>49</v>
      </c>
      <c r="H270" t="s">
        <v>50</v>
      </c>
      <c r="I270" s="7">
        <v>33840</v>
      </c>
      <c r="J270" s="7"/>
      <c r="K270" t="s">
        <v>34</v>
      </c>
      <c r="L270">
        <v>12</v>
      </c>
    </row>
    <row r="271" spans="1:12" x14ac:dyDescent="0.25">
      <c r="A271" t="s">
        <v>632</v>
      </c>
      <c r="B271" t="s">
        <v>474</v>
      </c>
      <c r="C271" s="6">
        <v>46047</v>
      </c>
      <c r="D271" t="s">
        <v>476</v>
      </c>
      <c r="E271" t="s">
        <v>475</v>
      </c>
      <c r="F271" t="s">
        <v>191</v>
      </c>
      <c r="G271" t="s">
        <v>70</v>
      </c>
      <c r="H271" t="s">
        <v>71</v>
      </c>
      <c r="I271" s="7"/>
      <c r="J271" s="7">
        <v>315840</v>
      </c>
      <c r="K271" t="s">
        <v>195</v>
      </c>
      <c r="L271">
        <v>12</v>
      </c>
    </row>
    <row r="272" spans="1:12" x14ac:dyDescent="0.25">
      <c r="A272" t="s">
        <v>633</v>
      </c>
      <c r="B272" t="s">
        <v>477</v>
      </c>
      <c r="C272" s="6">
        <v>46053</v>
      </c>
      <c r="D272" t="s">
        <v>479</v>
      </c>
      <c r="E272" t="s">
        <v>478</v>
      </c>
      <c r="F272" t="s">
        <v>232</v>
      </c>
      <c r="G272" t="s">
        <v>105</v>
      </c>
      <c r="H272" t="s">
        <v>106</v>
      </c>
      <c r="I272" s="7">
        <v>40000</v>
      </c>
      <c r="J272" s="7"/>
      <c r="K272" t="s">
        <v>34</v>
      </c>
    </row>
    <row r="273" spans="1:12" x14ac:dyDescent="0.25">
      <c r="A273" t="s">
        <v>633</v>
      </c>
      <c r="B273" t="s">
        <v>477</v>
      </c>
      <c r="C273" s="6">
        <v>46053</v>
      </c>
      <c r="D273" t="s">
        <v>479</v>
      </c>
      <c r="E273" t="s">
        <v>478</v>
      </c>
      <c r="F273" t="s">
        <v>232</v>
      </c>
      <c r="G273" t="s">
        <v>74</v>
      </c>
      <c r="H273" t="s">
        <v>75</v>
      </c>
      <c r="I273" s="7"/>
      <c r="J273" s="7">
        <v>37000</v>
      </c>
      <c r="K273" t="s">
        <v>34</v>
      </c>
    </row>
    <row r="274" spans="1:12" x14ac:dyDescent="0.25">
      <c r="A274" t="s">
        <v>633</v>
      </c>
      <c r="B274" t="s">
        <v>477</v>
      </c>
      <c r="C274" s="6">
        <v>46053</v>
      </c>
      <c r="D274" t="s">
        <v>479</v>
      </c>
      <c r="E274" t="s">
        <v>478</v>
      </c>
      <c r="F274" t="s">
        <v>232</v>
      </c>
      <c r="G274" t="s">
        <v>80</v>
      </c>
      <c r="H274" t="s">
        <v>81</v>
      </c>
      <c r="I274" s="7"/>
      <c r="J274" s="7">
        <v>3000</v>
      </c>
      <c r="K274" t="s">
        <v>34</v>
      </c>
    </row>
    <row r="275" spans="1:12" x14ac:dyDescent="0.25">
      <c r="A275" t="s">
        <v>634</v>
      </c>
      <c r="B275" t="s">
        <v>480</v>
      </c>
      <c r="C275" s="6">
        <v>46055</v>
      </c>
      <c r="D275" t="s">
        <v>482</v>
      </c>
      <c r="E275" t="s">
        <v>481</v>
      </c>
      <c r="F275" t="s">
        <v>232</v>
      </c>
      <c r="G275" t="s">
        <v>74</v>
      </c>
      <c r="H275" t="s">
        <v>75</v>
      </c>
      <c r="I275" s="7">
        <v>37000</v>
      </c>
      <c r="J275" s="7"/>
      <c r="K275" t="s">
        <v>34</v>
      </c>
    </row>
    <row r="276" spans="1:12" x14ac:dyDescent="0.25">
      <c r="A276" t="s">
        <v>634</v>
      </c>
      <c r="B276" t="s">
        <v>480</v>
      </c>
      <c r="C276" s="6">
        <v>46055</v>
      </c>
      <c r="D276" t="s">
        <v>482</v>
      </c>
      <c r="E276" t="s">
        <v>481</v>
      </c>
      <c r="F276" t="s">
        <v>232</v>
      </c>
      <c r="G276" t="s">
        <v>37</v>
      </c>
      <c r="H276" t="s">
        <v>38</v>
      </c>
      <c r="I276" s="7"/>
      <c r="J276" s="7">
        <v>37000</v>
      </c>
      <c r="K276" t="s">
        <v>34</v>
      </c>
    </row>
    <row r="277" spans="1:12" x14ac:dyDescent="0.25">
      <c r="A277" t="s">
        <v>635</v>
      </c>
      <c r="B277" t="s">
        <v>483</v>
      </c>
      <c r="C277" s="6">
        <v>46063</v>
      </c>
      <c r="D277" t="s">
        <v>485</v>
      </c>
      <c r="E277" t="s">
        <v>484</v>
      </c>
      <c r="F277" t="s">
        <v>117</v>
      </c>
      <c r="G277" t="s">
        <v>116</v>
      </c>
      <c r="H277" t="s">
        <v>117</v>
      </c>
      <c r="I277" s="7">
        <v>2500</v>
      </c>
      <c r="J277" s="7"/>
      <c r="K277" t="s">
        <v>34</v>
      </c>
      <c r="L277">
        <v>18</v>
      </c>
    </row>
    <row r="278" spans="1:12" x14ac:dyDescent="0.25">
      <c r="A278" t="s">
        <v>635</v>
      </c>
      <c r="B278" t="s">
        <v>483</v>
      </c>
      <c r="C278" s="6">
        <v>46063</v>
      </c>
      <c r="D278" t="s">
        <v>485</v>
      </c>
      <c r="E278" t="s">
        <v>484</v>
      </c>
      <c r="F278" t="s">
        <v>117</v>
      </c>
      <c r="G278" t="s">
        <v>49</v>
      </c>
      <c r="H278" t="s">
        <v>50</v>
      </c>
      <c r="I278" s="7">
        <v>450</v>
      </c>
      <c r="J278" s="7"/>
      <c r="K278" t="s">
        <v>34</v>
      </c>
      <c r="L278">
        <v>18</v>
      </c>
    </row>
    <row r="279" spans="1:12" x14ac:dyDescent="0.25">
      <c r="A279" t="s">
        <v>635</v>
      </c>
      <c r="B279" t="s">
        <v>483</v>
      </c>
      <c r="C279" s="6">
        <v>46063</v>
      </c>
      <c r="D279" t="s">
        <v>485</v>
      </c>
      <c r="E279" t="s">
        <v>484</v>
      </c>
      <c r="F279" t="s">
        <v>117</v>
      </c>
      <c r="G279" t="s">
        <v>35</v>
      </c>
      <c r="H279" t="s">
        <v>36</v>
      </c>
      <c r="I279" s="7"/>
      <c r="J279" s="7">
        <v>2950</v>
      </c>
      <c r="K279" t="s">
        <v>172</v>
      </c>
      <c r="L279">
        <v>18</v>
      </c>
    </row>
    <row r="280" spans="1:12" x14ac:dyDescent="0.25">
      <c r="A280" t="s">
        <v>636</v>
      </c>
      <c r="B280" t="s">
        <v>486</v>
      </c>
      <c r="C280" s="6">
        <v>46065</v>
      </c>
      <c r="D280" t="s">
        <v>488</v>
      </c>
      <c r="E280" t="s">
        <v>487</v>
      </c>
      <c r="F280" t="s">
        <v>209</v>
      </c>
      <c r="G280" t="s">
        <v>37</v>
      </c>
      <c r="H280" t="s">
        <v>38</v>
      </c>
      <c r="I280" s="7">
        <v>369600</v>
      </c>
      <c r="J280" s="7"/>
      <c r="K280" t="s">
        <v>207</v>
      </c>
      <c r="L280">
        <v>12</v>
      </c>
    </row>
    <row r="281" spans="1:12" x14ac:dyDescent="0.25">
      <c r="A281" t="s">
        <v>636</v>
      </c>
      <c r="B281" t="s">
        <v>486</v>
      </c>
      <c r="C281" s="6">
        <v>46065</v>
      </c>
      <c r="D281" t="s">
        <v>488</v>
      </c>
      <c r="E281" t="s">
        <v>487</v>
      </c>
      <c r="F281" t="s">
        <v>209</v>
      </c>
      <c r="G281" t="s">
        <v>93</v>
      </c>
      <c r="H281" t="s">
        <v>94</v>
      </c>
      <c r="I281" s="7"/>
      <c r="J281" s="7">
        <v>330000</v>
      </c>
      <c r="K281" t="s">
        <v>34</v>
      </c>
      <c r="L281">
        <v>12</v>
      </c>
    </row>
    <row r="282" spans="1:12" x14ac:dyDescent="0.25">
      <c r="A282" t="s">
        <v>636</v>
      </c>
      <c r="B282" t="s">
        <v>486</v>
      </c>
      <c r="C282" s="6">
        <v>46065</v>
      </c>
      <c r="D282" t="s">
        <v>488</v>
      </c>
      <c r="E282" t="s">
        <v>487</v>
      </c>
      <c r="F282" t="s">
        <v>209</v>
      </c>
      <c r="G282" t="s">
        <v>78</v>
      </c>
      <c r="H282" t="s">
        <v>79</v>
      </c>
      <c r="I282" s="7"/>
      <c r="J282" s="7">
        <v>39600</v>
      </c>
      <c r="K282" t="s">
        <v>34</v>
      </c>
      <c r="L282">
        <v>12</v>
      </c>
    </row>
    <row r="283" spans="1:12" x14ac:dyDescent="0.25">
      <c r="A283" t="s">
        <v>636</v>
      </c>
      <c r="B283" t="s">
        <v>486</v>
      </c>
      <c r="C283" s="6">
        <v>46065</v>
      </c>
      <c r="D283" t="s">
        <v>488</v>
      </c>
      <c r="E283" t="s">
        <v>487</v>
      </c>
      <c r="F283" t="s">
        <v>209</v>
      </c>
      <c r="G283" t="s">
        <v>101</v>
      </c>
      <c r="H283" t="s">
        <v>102</v>
      </c>
      <c r="I283" s="7">
        <v>187101.45</v>
      </c>
      <c r="J283" s="7"/>
      <c r="K283" t="s">
        <v>34</v>
      </c>
      <c r="L283">
        <v>12</v>
      </c>
    </row>
    <row r="284" spans="1:12" x14ac:dyDescent="0.25">
      <c r="A284" t="s">
        <v>636</v>
      </c>
      <c r="B284" t="s">
        <v>486</v>
      </c>
      <c r="C284" s="6">
        <v>46065</v>
      </c>
      <c r="D284" t="s">
        <v>488</v>
      </c>
      <c r="E284" t="s">
        <v>487</v>
      </c>
      <c r="F284" t="s">
        <v>209</v>
      </c>
      <c r="G284" t="s">
        <v>44</v>
      </c>
      <c r="H284" t="s">
        <v>45</v>
      </c>
      <c r="I284" s="7"/>
      <c r="J284" s="7">
        <v>187101.45</v>
      </c>
      <c r="K284" t="s">
        <v>34</v>
      </c>
      <c r="L284">
        <v>12</v>
      </c>
    </row>
    <row r="285" spans="1:12" x14ac:dyDescent="0.25">
      <c r="A285" t="s">
        <v>637</v>
      </c>
      <c r="B285" t="s">
        <v>489</v>
      </c>
      <c r="C285" s="6">
        <v>46068</v>
      </c>
      <c r="D285" t="s">
        <v>491</v>
      </c>
      <c r="E285" t="s">
        <v>490</v>
      </c>
      <c r="F285" t="s">
        <v>98</v>
      </c>
      <c r="G285" t="s">
        <v>29</v>
      </c>
      <c r="H285" t="s">
        <v>30</v>
      </c>
      <c r="I285" s="7">
        <v>21240</v>
      </c>
      <c r="J285" s="7"/>
      <c r="K285" t="s">
        <v>207</v>
      </c>
      <c r="L285">
        <v>18</v>
      </c>
    </row>
    <row r="286" spans="1:12" x14ac:dyDescent="0.25">
      <c r="A286" t="s">
        <v>637</v>
      </c>
      <c r="B286" t="s">
        <v>489</v>
      </c>
      <c r="C286" s="6">
        <v>46068</v>
      </c>
      <c r="D286" t="s">
        <v>491</v>
      </c>
      <c r="E286" t="s">
        <v>490</v>
      </c>
      <c r="F286" t="s">
        <v>98</v>
      </c>
      <c r="G286" t="s">
        <v>97</v>
      </c>
      <c r="H286" t="s">
        <v>98</v>
      </c>
      <c r="I286" s="7"/>
      <c r="J286" s="7">
        <v>18000</v>
      </c>
      <c r="K286" t="s">
        <v>34</v>
      </c>
      <c r="L286">
        <v>18</v>
      </c>
    </row>
    <row r="287" spans="1:12" x14ac:dyDescent="0.25">
      <c r="A287" t="s">
        <v>637</v>
      </c>
      <c r="B287" t="s">
        <v>489</v>
      </c>
      <c r="C287" s="6">
        <v>46068</v>
      </c>
      <c r="D287" t="s">
        <v>491</v>
      </c>
      <c r="E287" t="s">
        <v>490</v>
      </c>
      <c r="F287" t="s">
        <v>98</v>
      </c>
      <c r="G287" t="s">
        <v>78</v>
      </c>
      <c r="H287" t="s">
        <v>79</v>
      </c>
      <c r="I287" s="7"/>
      <c r="J287" s="7">
        <v>3240</v>
      </c>
      <c r="K287" t="s">
        <v>34</v>
      </c>
      <c r="L287">
        <v>18</v>
      </c>
    </row>
    <row r="288" spans="1:12" x14ac:dyDescent="0.25">
      <c r="A288" t="s">
        <v>638</v>
      </c>
      <c r="B288" t="s">
        <v>492</v>
      </c>
      <c r="C288" s="6">
        <v>46071</v>
      </c>
      <c r="D288" t="s">
        <v>494</v>
      </c>
      <c r="E288" t="s">
        <v>493</v>
      </c>
      <c r="F288" t="s">
        <v>209</v>
      </c>
      <c r="G288" t="s">
        <v>37</v>
      </c>
      <c r="H288" t="s">
        <v>38</v>
      </c>
      <c r="I288" s="7">
        <v>177000</v>
      </c>
      <c r="J288" s="7"/>
      <c r="K288" t="s">
        <v>207</v>
      </c>
      <c r="L288">
        <v>18</v>
      </c>
    </row>
    <row r="289" spans="1:12" x14ac:dyDescent="0.25">
      <c r="A289" t="s">
        <v>638</v>
      </c>
      <c r="B289" t="s">
        <v>492</v>
      </c>
      <c r="C289" s="6">
        <v>46071</v>
      </c>
      <c r="D289" t="s">
        <v>494</v>
      </c>
      <c r="E289" t="s">
        <v>493</v>
      </c>
      <c r="F289" t="s">
        <v>209</v>
      </c>
      <c r="G289" t="s">
        <v>93</v>
      </c>
      <c r="H289" t="s">
        <v>94</v>
      </c>
      <c r="I289" s="7"/>
      <c r="J289" s="7">
        <v>150000</v>
      </c>
      <c r="K289" t="s">
        <v>34</v>
      </c>
      <c r="L289">
        <v>18</v>
      </c>
    </row>
    <row r="290" spans="1:12" x14ac:dyDescent="0.25">
      <c r="A290" t="s">
        <v>638</v>
      </c>
      <c r="B290" t="s">
        <v>492</v>
      </c>
      <c r="C290" s="6">
        <v>46071</v>
      </c>
      <c r="D290" t="s">
        <v>494</v>
      </c>
      <c r="E290" t="s">
        <v>493</v>
      </c>
      <c r="F290" t="s">
        <v>209</v>
      </c>
      <c r="G290" t="s">
        <v>78</v>
      </c>
      <c r="H290" t="s">
        <v>79</v>
      </c>
      <c r="I290" s="7"/>
      <c r="J290" s="7">
        <v>27000</v>
      </c>
      <c r="K290" t="s">
        <v>34</v>
      </c>
      <c r="L290">
        <v>18</v>
      </c>
    </row>
    <row r="291" spans="1:12" x14ac:dyDescent="0.25">
      <c r="A291" t="s">
        <v>638</v>
      </c>
      <c r="B291" t="s">
        <v>492</v>
      </c>
      <c r="C291" s="6">
        <v>46071</v>
      </c>
      <c r="D291" t="s">
        <v>494</v>
      </c>
      <c r="E291" t="s">
        <v>493</v>
      </c>
      <c r="F291" t="s">
        <v>209</v>
      </c>
      <c r="G291" t="s">
        <v>101</v>
      </c>
      <c r="H291" t="s">
        <v>102</v>
      </c>
      <c r="I291" s="7">
        <v>85329.73</v>
      </c>
      <c r="J291" s="7"/>
      <c r="K291" t="s">
        <v>34</v>
      </c>
      <c r="L291">
        <v>18</v>
      </c>
    </row>
    <row r="292" spans="1:12" x14ac:dyDescent="0.25">
      <c r="A292" t="s">
        <v>638</v>
      </c>
      <c r="B292" t="s">
        <v>492</v>
      </c>
      <c r="C292" s="6">
        <v>46071</v>
      </c>
      <c r="D292" t="s">
        <v>494</v>
      </c>
      <c r="E292" t="s">
        <v>493</v>
      </c>
      <c r="F292" t="s">
        <v>209</v>
      </c>
      <c r="G292" t="s">
        <v>44</v>
      </c>
      <c r="H292" t="s">
        <v>45</v>
      </c>
      <c r="I292" s="7"/>
      <c r="J292" s="7">
        <v>85329.73</v>
      </c>
      <c r="K292" t="s">
        <v>34</v>
      </c>
      <c r="L292">
        <v>18</v>
      </c>
    </row>
    <row r="293" spans="1:12" x14ac:dyDescent="0.25">
      <c r="A293" t="s">
        <v>639</v>
      </c>
      <c r="B293" t="s">
        <v>495</v>
      </c>
      <c r="C293" s="6">
        <v>46073</v>
      </c>
      <c r="D293" t="s">
        <v>497</v>
      </c>
      <c r="E293" t="s">
        <v>496</v>
      </c>
      <c r="F293" t="s">
        <v>232</v>
      </c>
      <c r="G293" t="s">
        <v>80</v>
      </c>
      <c r="H293" t="s">
        <v>81</v>
      </c>
      <c r="I293" s="7">
        <v>18000</v>
      </c>
      <c r="J293" s="7"/>
      <c r="K293" t="s">
        <v>34</v>
      </c>
    </row>
    <row r="294" spans="1:12" x14ac:dyDescent="0.25">
      <c r="A294" t="s">
        <v>639</v>
      </c>
      <c r="B294" t="s">
        <v>495</v>
      </c>
      <c r="C294" s="6">
        <v>46073</v>
      </c>
      <c r="D294" t="s">
        <v>497</v>
      </c>
      <c r="E294" t="s">
        <v>496</v>
      </c>
      <c r="F294" t="s">
        <v>232</v>
      </c>
      <c r="G294" t="s">
        <v>35</v>
      </c>
      <c r="H294" t="s">
        <v>36</v>
      </c>
      <c r="I294" s="7"/>
      <c r="J294" s="7">
        <v>18000</v>
      </c>
      <c r="K294" t="s">
        <v>34</v>
      </c>
    </row>
    <row r="295" spans="1:12" x14ac:dyDescent="0.25">
      <c r="A295" t="s">
        <v>640</v>
      </c>
      <c r="B295" t="s">
        <v>498</v>
      </c>
      <c r="C295" s="6">
        <v>46073</v>
      </c>
      <c r="D295" t="s">
        <v>500</v>
      </c>
      <c r="E295" t="s">
        <v>499</v>
      </c>
      <c r="F295" t="s">
        <v>322</v>
      </c>
      <c r="G295" t="s">
        <v>78</v>
      </c>
      <c r="H295" t="s">
        <v>79</v>
      </c>
      <c r="I295" s="7">
        <v>69840</v>
      </c>
      <c r="J295" s="7"/>
      <c r="K295" t="s">
        <v>34</v>
      </c>
    </row>
    <row r="296" spans="1:12" x14ac:dyDescent="0.25">
      <c r="A296" t="s">
        <v>640</v>
      </c>
      <c r="B296" t="s">
        <v>498</v>
      </c>
      <c r="C296" s="6">
        <v>46073</v>
      </c>
      <c r="D296" t="s">
        <v>500</v>
      </c>
      <c r="E296" t="s">
        <v>499</v>
      </c>
      <c r="F296" t="s">
        <v>322</v>
      </c>
      <c r="G296" t="s">
        <v>49</v>
      </c>
      <c r="H296" t="s">
        <v>50</v>
      </c>
      <c r="I296" s="7"/>
      <c r="J296" s="7">
        <v>66840</v>
      </c>
      <c r="K296" t="s">
        <v>34</v>
      </c>
    </row>
    <row r="297" spans="1:12" x14ac:dyDescent="0.25">
      <c r="A297" t="s">
        <v>640</v>
      </c>
      <c r="B297" t="s">
        <v>498</v>
      </c>
      <c r="C297" s="6">
        <v>46073</v>
      </c>
      <c r="D297" t="s">
        <v>500</v>
      </c>
      <c r="E297" t="s">
        <v>499</v>
      </c>
      <c r="F297" t="s">
        <v>322</v>
      </c>
      <c r="G297" t="s">
        <v>35</v>
      </c>
      <c r="H297" t="s">
        <v>36</v>
      </c>
      <c r="I297" s="7"/>
      <c r="J297" s="7">
        <v>3000</v>
      </c>
      <c r="K297" t="s">
        <v>34</v>
      </c>
    </row>
    <row r="298" spans="1:12" x14ac:dyDescent="0.25">
      <c r="A298" t="s">
        <v>641</v>
      </c>
      <c r="B298" t="s">
        <v>501</v>
      </c>
      <c r="C298" s="6">
        <v>46081</v>
      </c>
      <c r="D298" t="s">
        <v>503</v>
      </c>
      <c r="E298" t="s">
        <v>502</v>
      </c>
      <c r="F298" t="s">
        <v>232</v>
      </c>
      <c r="G298" t="s">
        <v>105</v>
      </c>
      <c r="H298" t="s">
        <v>106</v>
      </c>
      <c r="I298" s="7">
        <v>40000</v>
      </c>
      <c r="J298" s="7"/>
      <c r="K298" t="s">
        <v>34</v>
      </c>
    </row>
    <row r="299" spans="1:12" x14ac:dyDescent="0.25">
      <c r="A299" t="s">
        <v>641</v>
      </c>
      <c r="B299" t="s">
        <v>501</v>
      </c>
      <c r="C299" s="6">
        <v>46081</v>
      </c>
      <c r="D299" t="s">
        <v>503</v>
      </c>
      <c r="E299" t="s">
        <v>502</v>
      </c>
      <c r="F299" t="s">
        <v>232</v>
      </c>
      <c r="G299" t="s">
        <v>74</v>
      </c>
      <c r="H299" t="s">
        <v>75</v>
      </c>
      <c r="I299" s="7"/>
      <c r="J299" s="7">
        <v>37000</v>
      </c>
      <c r="K299" t="s">
        <v>34</v>
      </c>
    </row>
    <row r="300" spans="1:12" x14ac:dyDescent="0.25">
      <c r="A300" t="s">
        <v>641</v>
      </c>
      <c r="B300" t="s">
        <v>501</v>
      </c>
      <c r="C300" s="6">
        <v>46081</v>
      </c>
      <c r="D300" t="s">
        <v>503</v>
      </c>
      <c r="E300" t="s">
        <v>502</v>
      </c>
      <c r="F300" t="s">
        <v>232</v>
      </c>
      <c r="G300" t="s">
        <v>80</v>
      </c>
      <c r="H300" t="s">
        <v>81</v>
      </c>
      <c r="I300" s="7"/>
      <c r="J300" s="7">
        <v>3000</v>
      </c>
      <c r="K300" t="s">
        <v>34</v>
      </c>
    </row>
    <row r="301" spans="1:12" x14ac:dyDescent="0.25">
      <c r="A301" t="s">
        <v>642</v>
      </c>
      <c r="B301" t="s">
        <v>504</v>
      </c>
      <c r="C301" s="6">
        <v>46083</v>
      </c>
      <c r="D301" t="s">
        <v>506</v>
      </c>
      <c r="E301" t="s">
        <v>505</v>
      </c>
      <c r="F301" t="s">
        <v>232</v>
      </c>
      <c r="G301" t="s">
        <v>74</v>
      </c>
      <c r="H301" t="s">
        <v>75</v>
      </c>
      <c r="I301" s="7">
        <v>37000</v>
      </c>
      <c r="J301" s="7"/>
      <c r="K301" t="s">
        <v>34</v>
      </c>
    </row>
    <row r="302" spans="1:12" x14ac:dyDescent="0.25">
      <c r="A302" t="s">
        <v>642</v>
      </c>
      <c r="B302" t="s">
        <v>504</v>
      </c>
      <c r="C302" s="6">
        <v>46083</v>
      </c>
      <c r="D302" t="s">
        <v>506</v>
      </c>
      <c r="E302" t="s">
        <v>505</v>
      </c>
      <c r="F302" t="s">
        <v>232</v>
      </c>
      <c r="G302" t="s">
        <v>37</v>
      </c>
      <c r="H302" t="s">
        <v>38</v>
      </c>
      <c r="I302" s="7"/>
      <c r="J302" s="7">
        <v>37000</v>
      </c>
      <c r="K302" t="s">
        <v>34</v>
      </c>
    </row>
    <row r="303" spans="1:12" x14ac:dyDescent="0.25">
      <c r="A303" t="s">
        <v>643</v>
      </c>
      <c r="B303" t="s">
        <v>507</v>
      </c>
      <c r="C303" s="6">
        <v>46086</v>
      </c>
      <c r="D303" t="s">
        <v>508</v>
      </c>
      <c r="E303" t="s">
        <v>211</v>
      </c>
      <c r="F303" t="s">
        <v>209</v>
      </c>
      <c r="G303" t="s">
        <v>39</v>
      </c>
      <c r="H303" t="s">
        <v>40</v>
      </c>
      <c r="I303" s="7">
        <v>277200</v>
      </c>
      <c r="J303" s="7"/>
      <c r="K303" t="s">
        <v>212</v>
      </c>
      <c r="L303">
        <v>12</v>
      </c>
    </row>
    <row r="304" spans="1:12" x14ac:dyDescent="0.25">
      <c r="A304" t="s">
        <v>643</v>
      </c>
      <c r="B304" t="s">
        <v>507</v>
      </c>
      <c r="C304" s="6">
        <v>46086</v>
      </c>
      <c r="D304" t="s">
        <v>508</v>
      </c>
      <c r="E304" t="s">
        <v>211</v>
      </c>
      <c r="F304" t="s">
        <v>209</v>
      </c>
      <c r="G304" t="s">
        <v>93</v>
      </c>
      <c r="H304" t="s">
        <v>94</v>
      </c>
      <c r="I304" s="7"/>
      <c r="J304" s="7">
        <v>247500</v>
      </c>
      <c r="K304" t="s">
        <v>34</v>
      </c>
      <c r="L304">
        <v>12</v>
      </c>
    </row>
    <row r="305" spans="1:12" x14ac:dyDescent="0.25">
      <c r="A305" t="s">
        <v>643</v>
      </c>
      <c r="B305" t="s">
        <v>507</v>
      </c>
      <c r="C305" s="6">
        <v>46086</v>
      </c>
      <c r="D305" t="s">
        <v>508</v>
      </c>
      <c r="E305" t="s">
        <v>211</v>
      </c>
      <c r="F305" t="s">
        <v>209</v>
      </c>
      <c r="G305" t="s">
        <v>78</v>
      </c>
      <c r="H305" t="s">
        <v>79</v>
      </c>
      <c r="I305" s="7"/>
      <c r="J305" s="7">
        <v>29700</v>
      </c>
      <c r="K305" t="s">
        <v>34</v>
      </c>
      <c r="L305">
        <v>12</v>
      </c>
    </row>
    <row r="306" spans="1:12" x14ac:dyDescent="0.25">
      <c r="A306" t="s">
        <v>643</v>
      </c>
      <c r="B306" t="s">
        <v>507</v>
      </c>
      <c r="C306" s="6">
        <v>46086</v>
      </c>
      <c r="D306" t="s">
        <v>508</v>
      </c>
      <c r="E306" t="s">
        <v>211</v>
      </c>
      <c r="F306" t="s">
        <v>209</v>
      </c>
      <c r="G306" t="s">
        <v>101</v>
      </c>
      <c r="H306" t="s">
        <v>102</v>
      </c>
      <c r="I306" s="7">
        <v>140326.09</v>
      </c>
      <c r="J306" s="7"/>
      <c r="K306" t="s">
        <v>34</v>
      </c>
      <c r="L306">
        <v>12</v>
      </c>
    </row>
    <row r="307" spans="1:12" x14ac:dyDescent="0.25">
      <c r="A307" t="s">
        <v>643</v>
      </c>
      <c r="B307" t="s">
        <v>507</v>
      </c>
      <c r="C307" s="6">
        <v>46086</v>
      </c>
      <c r="D307" t="s">
        <v>508</v>
      </c>
      <c r="E307" t="s">
        <v>211</v>
      </c>
      <c r="F307" t="s">
        <v>209</v>
      </c>
      <c r="G307" t="s">
        <v>44</v>
      </c>
      <c r="H307" t="s">
        <v>45</v>
      </c>
      <c r="I307" s="7"/>
      <c r="J307" s="7">
        <v>140326.09</v>
      </c>
      <c r="K307" t="s">
        <v>34</v>
      </c>
      <c r="L307">
        <v>12</v>
      </c>
    </row>
    <row r="308" spans="1:12" x14ac:dyDescent="0.25">
      <c r="A308" t="s">
        <v>644</v>
      </c>
      <c r="B308" t="s">
        <v>509</v>
      </c>
      <c r="C308" s="6">
        <v>46089</v>
      </c>
      <c r="D308" t="s">
        <v>511</v>
      </c>
      <c r="E308" t="s">
        <v>510</v>
      </c>
      <c r="F308" t="s">
        <v>256</v>
      </c>
      <c r="G308" t="s">
        <v>70</v>
      </c>
      <c r="H308" t="s">
        <v>71</v>
      </c>
      <c r="I308" s="7">
        <v>315840</v>
      </c>
      <c r="J308" s="7"/>
      <c r="K308" t="s">
        <v>195</v>
      </c>
    </row>
    <row r="309" spans="1:12" x14ac:dyDescent="0.25">
      <c r="A309" t="s">
        <v>644</v>
      </c>
      <c r="B309" t="s">
        <v>509</v>
      </c>
      <c r="C309" s="6">
        <v>46089</v>
      </c>
      <c r="D309" t="s">
        <v>511</v>
      </c>
      <c r="E309" t="s">
        <v>510</v>
      </c>
      <c r="F309" t="s">
        <v>256</v>
      </c>
      <c r="G309" t="s">
        <v>35</v>
      </c>
      <c r="H309" t="s">
        <v>36</v>
      </c>
      <c r="I309" s="7"/>
      <c r="J309" s="7">
        <v>315840</v>
      </c>
      <c r="K309" t="s">
        <v>195</v>
      </c>
    </row>
    <row r="310" spans="1:12" x14ac:dyDescent="0.25">
      <c r="A310" t="s">
        <v>645</v>
      </c>
      <c r="B310" t="s">
        <v>512</v>
      </c>
      <c r="C310" s="6">
        <v>46091</v>
      </c>
      <c r="D310" t="s">
        <v>514</v>
      </c>
      <c r="E310" t="s">
        <v>513</v>
      </c>
      <c r="F310" t="s">
        <v>153</v>
      </c>
      <c r="G310" t="s">
        <v>35</v>
      </c>
      <c r="H310" t="s">
        <v>36</v>
      </c>
      <c r="I310" s="7">
        <v>200000</v>
      </c>
      <c r="J310" s="7"/>
      <c r="K310" t="s">
        <v>34</v>
      </c>
    </row>
    <row r="311" spans="1:12" x14ac:dyDescent="0.25">
      <c r="A311" t="s">
        <v>645</v>
      </c>
      <c r="B311" t="s">
        <v>512</v>
      </c>
      <c r="C311" s="6">
        <v>46091</v>
      </c>
      <c r="D311" t="s">
        <v>514</v>
      </c>
      <c r="E311" t="s">
        <v>513</v>
      </c>
      <c r="F311" t="s">
        <v>153</v>
      </c>
      <c r="G311" t="s">
        <v>37</v>
      </c>
      <c r="H311" t="s">
        <v>38</v>
      </c>
      <c r="I311" s="7"/>
      <c r="J311" s="7">
        <v>200000</v>
      </c>
      <c r="K311" t="s">
        <v>34</v>
      </c>
    </row>
    <row r="312" spans="1:12" x14ac:dyDescent="0.25">
      <c r="A312" t="s">
        <v>646</v>
      </c>
      <c r="B312" t="s">
        <v>515</v>
      </c>
      <c r="C312" s="6">
        <v>46093</v>
      </c>
      <c r="D312" t="s">
        <v>517</v>
      </c>
      <c r="E312" t="s">
        <v>516</v>
      </c>
      <c r="F312" t="s">
        <v>191</v>
      </c>
      <c r="G312" t="s">
        <v>44</v>
      </c>
      <c r="H312" t="s">
        <v>45</v>
      </c>
      <c r="I312" s="7">
        <v>118000</v>
      </c>
      <c r="J312" s="7"/>
      <c r="K312" t="s">
        <v>34</v>
      </c>
      <c r="L312">
        <v>18</v>
      </c>
    </row>
    <row r="313" spans="1:12" x14ac:dyDescent="0.25">
      <c r="A313" t="s">
        <v>646</v>
      </c>
      <c r="B313" t="s">
        <v>515</v>
      </c>
      <c r="C313" s="6">
        <v>46093</v>
      </c>
      <c r="D313" t="s">
        <v>517</v>
      </c>
      <c r="E313" t="s">
        <v>516</v>
      </c>
      <c r="F313" t="s">
        <v>191</v>
      </c>
      <c r="G313" t="s">
        <v>49</v>
      </c>
      <c r="H313" t="s">
        <v>50</v>
      </c>
      <c r="I313" s="7">
        <v>21240</v>
      </c>
      <c r="J313" s="7"/>
      <c r="K313" t="s">
        <v>34</v>
      </c>
      <c r="L313">
        <v>18</v>
      </c>
    </row>
    <row r="314" spans="1:12" x14ac:dyDescent="0.25">
      <c r="A314" t="s">
        <v>646</v>
      </c>
      <c r="B314" t="s">
        <v>515</v>
      </c>
      <c r="C314" s="6">
        <v>46093</v>
      </c>
      <c r="D314" t="s">
        <v>517</v>
      </c>
      <c r="E314" t="s">
        <v>516</v>
      </c>
      <c r="F314" t="s">
        <v>191</v>
      </c>
      <c r="G314" t="s">
        <v>70</v>
      </c>
      <c r="H314" t="s">
        <v>71</v>
      </c>
      <c r="I314" s="7"/>
      <c r="J314" s="7">
        <v>139240</v>
      </c>
      <c r="K314" t="s">
        <v>189</v>
      </c>
      <c r="L314">
        <v>18</v>
      </c>
    </row>
    <row r="315" spans="1:12" x14ac:dyDescent="0.25">
      <c r="A315" t="s">
        <v>647</v>
      </c>
      <c r="B315" t="s">
        <v>518</v>
      </c>
      <c r="C315" s="6">
        <v>46096</v>
      </c>
      <c r="D315" t="s">
        <v>519</v>
      </c>
      <c r="E315" t="s">
        <v>439</v>
      </c>
      <c r="F315" t="s">
        <v>365</v>
      </c>
      <c r="G315" t="s">
        <v>76</v>
      </c>
      <c r="H315" t="s">
        <v>77</v>
      </c>
      <c r="I315" s="7">
        <v>100000</v>
      </c>
      <c r="J315" s="7"/>
      <c r="K315" t="s">
        <v>34</v>
      </c>
    </row>
    <row r="316" spans="1:12" x14ac:dyDescent="0.25">
      <c r="A316" t="s">
        <v>647</v>
      </c>
      <c r="B316" t="s">
        <v>518</v>
      </c>
      <c r="C316" s="6">
        <v>46096</v>
      </c>
      <c r="D316" t="s">
        <v>519</v>
      </c>
      <c r="E316" t="s">
        <v>439</v>
      </c>
      <c r="F316" t="s">
        <v>365</v>
      </c>
      <c r="G316" t="s">
        <v>118</v>
      </c>
      <c r="H316" t="s">
        <v>119</v>
      </c>
      <c r="I316" s="7">
        <v>15500</v>
      </c>
      <c r="J316" s="7"/>
      <c r="K316" t="s">
        <v>34</v>
      </c>
    </row>
    <row r="317" spans="1:12" x14ac:dyDescent="0.25">
      <c r="A317" t="s">
        <v>647</v>
      </c>
      <c r="B317" t="s">
        <v>518</v>
      </c>
      <c r="C317" s="6">
        <v>46096</v>
      </c>
      <c r="D317" t="s">
        <v>519</v>
      </c>
      <c r="E317" t="s">
        <v>439</v>
      </c>
      <c r="F317" t="s">
        <v>365</v>
      </c>
      <c r="G317" t="s">
        <v>35</v>
      </c>
      <c r="H317" t="s">
        <v>36</v>
      </c>
      <c r="I317" s="7"/>
      <c r="J317" s="7">
        <v>115500</v>
      </c>
      <c r="K317" t="s">
        <v>34</v>
      </c>
    </row>
    <row r="318" spans="1:12" x14ac:dyDescent="0.25">
      <c r="A318" t="s">
        <v>648</v>
      </c>
      <c r="B318" t="s">
        <v>520</v>
      </c>
      <c r="C318" s="6">
        <v>46112</v>
      </c>
      <c r="D318" t="s">
        <v>523</v>
      </c>
      <c r="E318" t="s">
        <v>522</v>
      </c>
      <c r="F318" t="s">
        <v>524</v>
      </c>
      <c r="G318" t="s">
        <v>42</v>
      </c>
      <c r="H318" t="s">
        <v>43</v>
      </c>
      <c r="I318" s="7">
        <v>2100</v>
      </c>
      <c r="J318" s="7"/>
      <c r="K318" t="s">
        <v>34</v>
      </c>
    </row>
    <row r="319" spans="1:12" x14ac:dyDescent="0.25">
      <c r="A319" t="s">
        <v>648</v>
      </c>
      <c r="B319" t="s">
        <v>520</v>
      </c>
      <c r="C319" s="6">
        <v>46112</v>
      </c>
      <c r="D319" t="s">
        <v>523</v>
      </c>
      <c r="E319" t="s">
        <v>522</v>
      </c>
      <c r="F319" t="s">
        <v>524</v>
      </c>
      <c r="G319" t="s">
        <v>99</v>
      </c>
      <c r="H319" t="s">
        <v>100</v>
      </c>
      <c r="I319" s="7"/>
      <c r="J319" s="7">
        <v>2100</v>
      </c>
      <c r="K319" t="s">
        <v>34</v>
      </c>
    </row>
    <row r="320" spans="1:12" x14ac:dyDescent="0.25">
      <c r="A320" t="s">
        <v>649</v>
      </c>
      <c r="B320" t="s">
        <v>525</v>
      </c>
      <c r="C320" s="6">
        <v>46112</v>
      </c>
      <c r="D320" t="s">
        <v>527</v>
      </c>
      <c r="E320" t="s">
        <v>526</v>
      </c>
      <c r="F320" t="s">
        <v>524</v>
      </c>
      <c r="G320" t="s">
        <v>118</v>
      </c>
      <c r="H320" t="s">
        <v>119</v>
      </c>
      <c r="I320" s="7">
        <v>3200</v>
      </c>
      <c r="J320" s="7"/>
      <c r="K320" t="s">
        <v>34</v>
      </c>
    </row>
    <row r="321" spans="1:12" x14ac:dyDescent="0.25">
      <c r="A321" t="s">
        <v>649</v>
      </c>
      <c r="B321" t="s">
        <v>525</v>
      </c>
      <c r="C321" s="6">
        <v>46112</v>
      </c>
      <c r="D321" t="s">
        <v>527</v>
      </c>
      <c r="E321" t="s">
        <v>526</v>
      </c>
      <c r="F321" t="s">
        <v>524</v>
      </c>
      <c r="G321" t="s">
        <v>83</v>
      </c>
      <c r="H321" t="s">
        <v>84</v>
      </c>
      <c r="I321" s="7"/>
      <c r="J321" s="7">
        <v>3200</v>
      </c>
      <c r="K321" t="s">
        <v>34</v>
      </c>
    </row>
    <row r="322" spans="1:12" x14ac:dyDescent="0.25">
      <c r="A322" t="s">
        <v>650</v>
      </c>
      <c r="B322" t="s">
        <v>528</v>
      </c>
      <c r="C322" s="6">
        <v>46112</v>
      </c>
      <c r="D322" t="s">
        <v>530</v>
      </c>
      <c r="E322" t="s">
        <v>529</v>
      </c>
      <c r="F322" t="s">
        <v>47</v>
      </c>
      <c r="G322" t="s">
        <v>108</v>
      </c>
      <c r="H322" t="s">
        <v>109</v>
      </c>
      <c r="I322" s="7">
        <v>66000</v>
      </c>
      <c r="J322" s="7"/>
      <c r="K322" t="s">
        <v>34</v>
      </c>
    </row>
    <row r="323" spans="1:12" x14ac:dyDescent="0.25">
      <c r="A323" t="s">
        <v>650</v>
      </c>
      <c r="B323" t="s">
        <v>528</v>
      </c>
      <c r="C323" s="6">
        <v>46112</v>
      </c>
      <c r="D323" t="s">
        <v>530</v>
      </c>
      <c r="E323" t="s">
        <v>529</v>
      </c>
      <c r="F323" t="s">
        <v>47</v>
      </c>
      <c r="G323" t="s">
        <v>46</v>
      </c>
      <c r="H323" t="s">
        <v>47</v>
      </c>
      <c r="I323" s="7"/>
      <c r="J323" s="7">
        <v>66000</v>
      </c>
      <c r="K323" t="s">
        <v>34</v>
      </c>
    </row>
    <row r="324" spans="1:12" x14ac:dyDescent="0.25">
      <c r="A324" t="s">
        <v>651</v>
      </c>
      <c r="B324" t="s">
        <v>531</v>
      </c>
      <c r="C324" s="6">
        <v>46112</v>
      </c>
      <c r="D324" t="s">
        <v>533</v>
      </c>
      <c r="E324" t="s">
        <v>532</v>
      </c>
      <c r="F324" t="s">
        <v>304</v>
      </c>
      <c r="G324" t="s">
        <v>114</v>
      </c>
      <c r="H324" t="s">
        <v>115</v>
      </c>
      <c r="I324" s="7">
        <v>25767.12</v>
      </c>
      <c r="J324" s="7"/>
      <c r="K324" t="s">
        <v>34</v>
      </c>
    </row>
    <row r="325" spans="1:12" x14ac:dyDescent="0.25">
      <c r="A325" t="s">
        <v>651</v>
      </c>
      <c r="B325" t="s">
        <v>531</v>
      </c>
      <c r="C325" s="6">
        <v>46112</v>
      </c>
      <c r="D325" t="s">
        <v>533</v>
      </c>
      <c r="E325" t="s">
        <v>532</v>
      </c>
      <c r="F325" t="s">
        <v>304</v>
      </c>
      <c r="G325" t="s">
        <v>58</v>
      </c>
      <c r="H325" t="s">
        <v>59</v>
      </c>
      <c r="I325" s="7"/>
      <c r="J325" s="7">
        <v>3452.05</v>
      </c>
      <c r="K325" t="s">
        <v>34</v>
      </c>
    </row>
    <row r="326" spans="1:12" x14ac:dyDescent="0.25">
      <c r="A326" t="s">
        <v>651</v>
      </c>
      <c r="B326" t="s">
        <v>531</v>
      </c>
      <c r="C326" s="6">
        <v>46112</v>
      </c>
      <c r="D326" t="s">
        <v>533</v>
      </c>
      <c r="E326" t="s">
        <v>532</v>
      </c>
      <c r="F326" t="s">
        <v>304</v>
      </c>
      <c r="G326" t="s">
        <v>64</v>
      </c>
      <c r="H326" t="s">
        <v>65</v>
      </c>
      <c r="I326" s="7"/>
      <c r="J326" s="7">
        <v>9369.86</v>
      </c>
      <c r="K326" t="s">
        <v>34</v>
      </c>
    </row>
    <row r="327" spans="1:12" x14ac:dyDescent="0.25">
      <c r="A327" t="s">
        <v>651</v>
      </c>
      <c r="B327" t="s">
        <v>531</v>
      </c>
      <c r="C327" s="6">
        <v>46112</v>
      </c>
      <c r="D327" t="s">
        <v>533</v>
      </c>
      <c r="E327" t="s">
        <v>532</v>
      </c>
      <c r="F327" t="s">
        <v>304</v>
      </c>
      <c r="G327" t="s">
        <v>68</v>
      </c>
      <c r="H327" t="s">
        <v>69</v>
      </c>
      <c r="I327" s="7"/>
      <c r="J327" s="7">
        <v>12945.21</v>
      </c>
      <c r="K327" t="s">
        <v>34</v>
      </c>
    </row>
    <row r="328" spans="1:12" x14ac:dyDescent="0.25">
      <c r="A328" t="s">
        <v>652</v>
      </c>
      <c r="B328" t="s">
        <v>534</v>
      </c>
      <c r="C328" s="6">
        <v>46112</v>
      </c>
      <c r="D328" t="s">
        <v>536</v>
      </c>
      <c r="E328" t="s">
        <v>535</v>
      </c>
      <c r="F328" t="s">
        <v>232</v>
      </c>
      <c r="G328" t="s">
        <v>105</v>
      </c>
      <c r="H328" t="s">
        <v>106</v>
      </c>
      <c r="I328" s="7">
        <v>40000</v>
      </c>
      <c r="J328" s="7"/>
      <c r="K328" t="s">
        <v>34</v>
      </c>
    </row>
    <row r="329" spans="1:12" x14ac:dyDescent="0.25">
      <c r="A329" t="s">
        <v>652</v>
      </c>
      <c r="B329" t="s">
        <v>534</v>
      </c>
      <c r="C329" s="6">
        <v>46112</v>
      </c>
      <c r="D329" t="s">
        <v>536</v>
      </c>
      <c r="E329" t="s">
        <v>535</v>
      </c>
      <c r="F329" t="s">
        <v>232</v>
      </c>
      <c r="G329" t="s">
        <v>74</v>
      </c>
      <c r="H329" t="s">
        <v>75</v>
      </c>
      <c r="I329" s="7"/>
      <c r="J329" s="7">
        <v>37000</v>
      </c>
      <c r="K329" t="s">
        <v>34</v>
      </c>
    </row>
    <row r="330" spans="1:12" x14ac:dyDescent="0.25">
      <c r="A330" t="s">
        <v>652</v>
      </c>
      <c r="B330" t="s">
        <v>534</v>
      </c>
      <c r="C330" s="6">
        <v>46112</v>
      </c>
      <c r="D330" t="s">
        <v>536</v>
      </c>
      <c r="E330" t="s">
        <v>535</v>
      </c>
      <c r="F330" t="s">
        <v>232</v>
      </c>
      <c r="G330" t="s">
        <v>80</v>
      </c>
      <c r="H330" t="s">
        <v>81</v>
      </c>
      <c r="I330" s="7"/>
      <c r="J330" s="7">
        <v>3000</v>
      </c>
      <c r="K330" t="s">
        <v>34</v>
      </c>
    </row>
    <row r="331" spans="1:10" s="15" customFormat="1" x14ac:dyDescent="0.25">
      <c r="A331" s="15" t="s">
        <v>34</v>
      </c>
      <c r="B331" s="15" t="s">
        <v>34</v>
      </c>
      <c r="C331" s="16" t="s">
        <v>34</v>
      </c>
      <c r="D331" s="15" t="s">
        <v>34</v>
      </c>
      <c r="E331" s="15" t="s">
        <v>34</v>
      </c>
      <c r="F331" s="15" t="s">
        <v>34</v>
      </c>
      <c r="G331" s="15" t="s">
        <v>34</v>
      </c>
      <c r="H331" s="15" t="s">
        <v>653</v>
      </c>
      <c r="I331" s="17">
        <f>SUM(I5:I330)</f>
        <v>20005554.14</v>
      </c>
      <c r="J331" s="17">
        <f>SUM(J5:J330)</f>
        <v>20005554.14</v>
      </c>
    </row>
    <row r="332" spans="1:10" s="3" customFormat="1" x14ac:dyDescent="0.25">
      <c r="A332" s="3" t="s">
        <v>34</v>
      </c>
      <c r="B332" s="3" t="s">
        <v>34</v>
      </c>
      <c r="C332" s="13" t="s">
        <v>34</v>
      </c>
      <c r="D332" s="3" t="s">
        <v>34</v>
      </c>
      <c r="E332" s="3" t="s">
        <v>34</v>
      </c>
      <c r="F332" s="3" t="s">
        <v>34</v>
      </c>
      <c r="G332" s="3" t="s">
        <v>34</v>
      </c>
      <c r="H332" s="3" t="s">
        <v>654</v>
      </c>
      <c r="I332" s="14">
        <f>I331-J331</f>
        <v>0</v>
      </c>
      <c r="J332" s="14"/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2" max="2" width="38" customWidth="1"/>
    <col min="3" max="3" width="13" style="6" customWidth="1"/>
    <col min="4" max="4" width="12" customWidth="1"/>
    <col min="5" max="5" width="60" customWidth="1"/>
    <col min="6" max="7" width="16" style="7" customWidth="1"/>
    <col min="8" max="8" width="20" style="7" customWidth="1"/>
  </cols>
  <sheetData>
    <row r="1" spans="1:8" s="1" customFormat="1" x14ac:dyDescent="0.25">
      <c r="A1" s="8" t="s">
        <v>655</v>
      </c>
      <c r="B1" s="8"/>
      <c r="C1" s="8"/>
      <c r="D1" s="8"/>
      <c r="E1" s="8"/>
      <c r="F1" s="8"/>
      <c r="G1" s="8"/>
      <c r="H1" s="8"/>
    </row>
    <row r="2" spans="1:8" s="2" customFormat="1" x14ac:dyDescent="0.25">
      <c r="A2" s="2" t="s">
        <v>1</v>
      </c>
      <c r="C2" s="9"/>
      <c r="F2" s="10"/>
      <c r="G2" s="10"/>
      <c r="H2" s="10"/>
    </row>
    <row r="4" spans="1:8" s="5" customFormat="1" x14ac:dyDescent="0.25">
      <c r="A4" s="5" t="s">
        <v>136</v>
      </c>
      <c r="B4" s="5" t="s">
        <v>24</v>
      </c>
      <c r="C4" s="11" t="s">
        <v>125</v>
      </c>
      <c r="D4" s="5" t="s">
        <v>539</v>
      </c>
      <c r="E4" s="5" t="s">
        <v>126</v>
      </c>
      <c r="F4" s="12" t="s">
        <v>540</v>
      </c>
      <c r="G4" s="12" t="s">
        <v>541</v>
      </c>
      <c r="H4" s="12" t="s">
        <v>656</v>
      </c>
    </row>
    <row r="5" spans="1:8" s="3" customFormat="1" x14ac:dyDescent="0.25">
      <c r="A5" s="3" t="s">
        <v>29</v>
      </c>
      <c r="B5" s="3" t="s">
        <v>30</v>
      </c>
      <c r="C5" s="13"/>
      <c r="D5" s="3" t="s">
        <v>34</v>
      </c>
      <c r="E5" s="3" t="s">
        <v>657</v>
      </c>
      <c r="F5" s="14"/>
      <c r="G5" s="14"/>
      <c r="H5" s="14">
        <v>0</v>
      </c>
    </row>
    <row r="6" spans="1:8" x14ac:dyDescent="0.25">
      <c r="A6" t="s">
        <v>29</v>
      </c>
      <c r="B6" t="s">
        <v>30</v>
      </c>
      <c r="C6" s="6">
        <v>45748</v>
      </c>
      <c r="D6" t="s">
        <v>543</v>
      </c>
      <c r="E6" t="s">
        <v>147</v>
      </c>
      <c r="F6" s="7">
        <v>100000</v>
      </c>
      <c r="G6" s="7"/>
      <c r="H6" s="7">
        <v>100000</v>
      </c>
    </row>
    <row r="7" spans="1:8" x14ac:dyDescent="0.25">
      <c r="A7" t="s">
        <v>29</v>
      </c>
      <c r="B7" t="s">
        <v>30</v>
      </c>
      <c r="C7" s="6">
        <v>45749</v>
      </c>
      <c r="D7" t="s">
        <v>545</v>
      </c>
      <c r="E7" t="s">
        <v>155</v>
      </c>
      <c r="F7" s="7">
        <v>60000</v>
      </c>
      <c r="G7" s="7"/>
      <c r="H7" s="7">
        <v>160000</v>
      </c>
    </row>
    <row r="8" spans="1:8" x14ac:dyDescent="0.25">
      <c r="A8" t="s">
        <v>29</v>
      </c>
      <c r="B8" t="s">
        <v>30</v>
      </c>
      <c r="C8" s="6">
        <v>45767</v>
      </c>
      <c r="D8" t="s">
        <v>554</v>
      </c>
      <c r="E8" t="s">
        <v>206</v>
      </c>
      <c r="F8" s="7">
        <v>57820</v>
      </c>
      <c r="G8" s="7"/>
      <c r="H8" s="7">
        <v>217820</v>
      </c>
    </row>
    <row r="9" spans="1:8" x14ac:dyDescent="0.25">
      <c r="A9" t="s">
        <v>29</v>
      </c>
      <c r="B9" t="s">
        <v>30</v>
      </c>
      <c r="C9" s="6">
        <v>45837</v>
      </c>
      <c r="D9" t="s">
        <v>576</v>
      </c>
      <c r="E9" t="s">
        <v>292</v>
      </c>
      <c r="F9" s="7">
        <v>44250</v>
      </c>
      <c r="G9" s="7"/>
      <c r="H9" s="7">
        <v>262070</v>
      </c>
    </row>
    <row r="10" spans="1:8" x14ac:dyDescent="0.25">
      <c r="A10" t="s">
        <v>29</v>
      </c>
      <c r="B10" t="s">
        <v>30</v>
      </c>
      <c r="C10" s="6">
        <v>45986</v>
      </c>
      <c r="D10" t="s">
        <v>616</v>
      </c>
      <c r="E10" t="s">
        <v>423</v>
      </c>
      <c r="F10" s="7">
        <v>175230</v>
      </c>
      <c r="G10" s="7"/>
      <c r="H10" s="7">
        <v>437300</v>
      </c>
    </row>
    <row r="11" spans="1:8" x14ac:dyDescent="0.25">
      <c r="A11" t="s">
        <v>29</v>
      </c>
      <c r="B11" t="s">
        <v>30</v>
      </c>
      <c r="C11" s="6">
        <v>45996</v>
      </c>
      <c r="D11" t="s">
        <v>619</v>
      </c>
      <c r="E11" t="s">
        <v>432</v>
      </c>
      <c r="F11" s="7"/>
      <c r="G11" s="7">
        <v>350000</v>
      </c>
      <c r="H11" s="7">
        <v>87300</v>
      </c>
    </row>
    <row r="12" spans="1:8" x14ac:dyDescent="0.25">
      <c r="A12" t="s">
        <v>29</v>
      </c>
      <c r="B12" t="s">
        <v>30</v>
      </c>
      <c r="C12" s="6">
        <v>46040</v>
      </c>
      <c r="D12" t="s">
        <v>629</v>
      </c>
      <c r="E12" t="s">
        <v>465</v>
      </c>
      <c r="F12" s="7">
        <v>12000</v>
      </c>
      <c r="G12" s="7"/>
      <c r="H12" s="7">
        <v>99300</v>
      </c>
    </row>
    <row r="13" spans="1:8" x14ac:dyDescent="0.25">
      <c r="A13" t="s">
        <v>29</v>
      </c>
      <c r="B13" t="s">
        <v>30</v>
      </c>
      <c r="C13" s="6">
        <v>46068</v>
      </c>
      <c r="D13" t="s">
        <v>637</v>
      </c>
      <c r="E13" t="s">
        <v>490</v>
      </c>
      <c r="F13" s="7">
        <v>21240</v>
      </c>
      <c r="G13" s="7"/>
      <c r="H13" s="7">
        <v>120540</v>
      </c>
    </row>
    <row r="14" spans="1:8" s="15" customFormat="1" x14ac:dyDescent="0.25">
      <c r="A14" s="15" t="s">
        <v>34</v>
      </c>
      <c r="B14" s="15" t="s">
        <v>658</v>
      </c>
      <c r="C14" s="16"/>
      <c r="D14" s="15" t="s">
        <v>34</v>
      </c>
      <c r="E14" s="15" t="s">
        <v>34</v>
      </c>
      <c r="F14" s="17">
        <v>470540</v>
      </c>
      <c r="G14" s="17">
        <v>350000</v>
      </c>
      <c r="H14" s="17">
        <v>120540</v>
      </c>
    </row>
    <row r="16" spans="1:8" s="3" customFormat="1" x14ac:dyDescent="0.25">
      <c r="A16" s="3" t="s">
        <v>35</v>
      </c>
      <c r="B16" s="3" t="s">
        <v>36</v>
      </c>
      <c r="C16" s="13"/>
      <c r="D16" s="3" t="s">
        <v>34</v>
      </c>
      <c r="E16" s="3" t="s">
        <v>657</v>
      </c>
      <c r="F16" s="14"/>
      <c r="G16" s="14"/>
      <c r="H16" s="14">
        <v>0</v>
      </c>
    </row>
    <row r="17" spans="1:8" x14ac:dyDescent="0.25">
      <c r="A17" t="s">
        <v>35</v>
      </c>
      <c r="B17" t="s">
        <v>36</v>
      </c>
      <c r="C17" s="6">
        <v>45748</v>
      </c>
      <c r="D17" t="s">
        <v>542</v>
      </c>
      <c r="E17" t="s">
        <v>143</v>
      </c>
      <c r="F17" s="7">
        <v>2500000</v>
      </c>
      <c r="G17" s="7"/>
      <c r="H17" s="7">
        <v>2500000</v>
      </c>
    </row>
    <row r="18" spans="1:8" x14ac:dyDescent="0.25">
      <c r="A18" t="s">
        <v>35</v>
      </c>
      <c r="B18" t="s">
        <v>36</v>
      </c>
      <c r="C18" s="6">
        <v>45749</v>
      </c>
      <c r="D18" t="s">
        <v>544</v>
      </c>
      <c r="E18" t="s">
        <v>151</v>
      </c>
      <c r="F18" s="7"/>
      <c r="G18" s="7">
        <v>800000</v>
      </c>
      <c r="H18" s="7">
        <v>1700000</v>
      </c>
    </row>
    <row r="19" spans="1:8" x14ac:dyDescent="0.25">
      <c r="A19" t="s">
        <v>35</v>
      </c>
      <c r="B19" t="s">
        <v>36</v>
      </c>
      <c r="C19" s="6">
        <v>45749</v>
      </c>
      <c r="D19" t="s">
        <v>545</v>
      </c>
      <c r="E19" t="s">
        <v>155</v>
      </c>
      <c r="F19" s="7"/>
      <c r="G19" s="7">
        <v>60000</v>
      </c>
      <c r="H19" s="7">
        <v>1640000</v>
      </c>
    </row>
    <row r="20" spans="1:8" x14ac:dyDescent="0.25">
      <c r="A20" t="s">
        <v>35</v>
      </c>
      <c r="B20" t="s">
        <v>36</v>
      </c>
      <c r="C20" s="6">
        <v>45750</v>
      </c>
      <c r="D20" t="s">
        <v>546</v>
      </c>
      <c r="E20" t="s">
        <v>160</v>
      </c>
      <c r="F20" s="7"/>
      <c r="G20" s="7">
        <v>177000</v>
      </c>
      <c r="H20" s="7">
        <v>1463000</v>
      </c>
    </row>
    <row r="21" spans="1:8" x14ac:dyDescent="0.25">
      <c r="A21" t="s">
        <v>35</v>
      </c>
      <c r="B21" t="s">
        <v>36</v>
      </c>
      <c r="C21" s="6">
        <v>45752</v>
      </c>
      <c r="D21" t="s">
        <v>548</v>
      </c>
      <c r="E21" t="s">
        <v>171</v>
      </c>
      <c r="F21" s="7">
        <v>800000</v>
      </c>
      <c r="G21" s="7"/>
      <c r="H21" s="7">
        <v>2263000</v>
      </c>
    </row>
    <row r="22" spans="1:8" x14ac:dyDescent="0.25">
      <c r="A22" t="s">
        <v>35</v>
      </c>
      <c r="B22" t="s">
        <v>36</v>
      </c>
      <c r="C22" s="6">
        <v>45753</v>
      </c>
      <c r="D22" t="s">
        <v>549</v>
      </c>
      <c r="E22" t="s">
        <v>176</v>
      </c>
      <c r="F22" s="7"/>
      <c r="G22" s="7">
        <v>590000</v>
      </c>
      <c r="H22" s="7">
        <v>1673000</v>
      </c>
    </row>
    <row r="23" spans="1:8" x14ac:dyDescent="0.25">
      <c r="A23" t="s">
        <v>35</v>
      </c>
      <c r="B23" t="s">
        <v>36</v>
      </c>
      <c r="C23" s="6">
        <v>45757</v>
      </c>
      <c r="D23" t="s">
        <v>550</v>
      </c>
      <c r="E23" t="s">
        <v>182</v>
      </c>
      <c r="F23" s="7"/>
      <c r="G23" s="7">
        <v>77880</v>
      </c>
      <c r="H23" s="7">
        <v>1595120</v>
      </c>
    </row>
    <row r="24" spans="1:8" x14ac:dyDescent="0.25">
      <c r="A24" t="s">
        <v>35</v>
      </c>
      <c r="B24" t="s">
        <v>36</v>
      </c>
      <c r="C24" s="6">
        <v>45759</v>
      </c>
      <c r="D24" t="s">
        <v>551</v>
      </c>
      <c r="E24" t="s">
        <v>188</v>
      </c>
      <c r="F24" s="7"/>
      <c r="G24" s="7">
        <v>330400</v>
      </c>
      <c r="H24" s="7">
        <v>1264720</v>
      </c>
    </row>
    <row r="25" spans="1:8" x14ac:dyDescent="0.25">
      <c r="A25" t="s">
        <v>35</v>
      </c>
      <c r="B25" t="s">
        <v>36</v>
      </c>
      <c r="C25" s="6">
        <v>45777</v>
      </c>
      <c r="D25" t="s">
        <v>560</v>
      </c>
      <c r="E25" t="s">
        <v>234</v>
      </c>
      <c r="F25" s="7"/>
      <c r="G25" s="7">
        <v>1180</v>
      </c>
      <c r="H25" s="7">
        <v>1263540</v>
      </c>
    </row>
    <row r="26" spans="1:8" x14ac:dyDescent="0.25">
      <c r="A26" t="s">
        <v>35</v>
      </c>
      <c r="B26" t="s">
        <v>36</v>
      </c>
      <c r="C26" s="6">
        <v>45784</v>
      </c>
      <c r="D26" t="s">
        <v>562</v>
      </c>
      <c r="E26" t="s">
        <v>241</v>
      </c>
      <c r="F26" s="7"/>
      <c r="G26" s="7">
        <v>3000</v>
      </c>
      <c r="H26" s="7">
        <v>1260540</v>
      </c>
    </row>
    <row r="27" spans="1:8" x14ac:dyDescent="0.25">
      <c r="A27" t="s">
        <v>35</v>
      </c>
      <c r="B27" t="s">
        <v>36</v>
      </c>
      <c r="C27" s="6">
        <v>45792</v>
      </c>
      <c r="D27" t="s">
        <v>564</v>
      </c>
      <c r="E27" t="s">
        <v>249</v>
      </c>
      <c r="F27" s="7">
        <v>40000</v>
      </c>
      <c r="G27" s="7"/>
      <c r="H27" s="7">
        <v>1300540</v>
      </c>
    </row>
    <row r="28" spans="1:8" x14ac:dyDescent="0.25">
      <c r="A28" t="s">
        <v>35</v>
      </c>
      <c r="B28" t="s">
        <v>36</v>
      </c>
      <c r="C28" s="6">
        <v>45797</v>
      </c>
      <c r="D28" t="s">
        <v>565</v>
      </c>
      <c r="E28" t="s">
        <v>254</v>
      </c>
      <c r="F28" s="7"/>
      <c r="G28" s="7">
        <v>200000</v>
      </c>
      <c r="H28" s="7">
        <v>1100540</v>
      </c>
    </row>
    <row r="29" spans="1:8" x14ac:dyDescent="0.25">
      <c r="A29" t="s">
        <v>35</v>
      </c>
      <c r="B29" t="s">
        <v>36</v>
      </c>
      <c r="C29" s="6">
        <v>45808</v>
      </c>
      <c r="D29" t="s">
        <v>569</v>
      </c>
      <c r="E29" t="s">
        <v>268</v>
      </c>
      <c r="F29" s="7"/>
      <c r="G29" s="7">
        <v>1180</v>
      </c>
      <c r="H29" s="7">
        <v>1099360</v>
      </c>
    </row>
    <row r="30" spans="1:8" x14ac:dyDescent="0.25">
      <c r="A30" t="s">
        <v>35</v>
      </c>
      <c r="B30" t="s">
        <v>36</v>
      </c>
      <c r="C30" s="6">
        <v>45815</v>
      </c>
      <c r="D30" t="s">
        <v>571</v>
      </c>
      <c r="E30" t="s">
        <v>274</v>
      </c>
      <c r="F30" s="7"/>
      <c r="G30" s="7">
        <v>3000</v>
      </c>
      <c r="H30" s="7">
        <v>1096360</v>
      </c>
    </row>
    <row r="31" spans="1:8" x14ac:dyDescent="0.25">
      <c r="A31" t="s">
        <v>35</v>
      </c>
      <c r="B31" t="s">
        <v>36</v>
      </c>
      <c r="C31" s="6">
        <v>45820</v>
      </c>
      <c r="D31" t="s">
        <v>573</v>
      </c>
      <c r="E31" t="s">
        <v>281</v>
      </c>
      <c r="F31" s="7"/>
      <c r="G31" s="7">
        <v>150000</v>
      </c>
      <c r="H31" s="7">
        <v>946360</v>
      </c>
    </row>
    <row r="32" spans="1:8" x14ac:dyDescent="0.25">
      <c r="A32" t="s">
        <v>35</v>
      </c>
      <c r="B32" t="s">
        <v>36</v>
      </c>
      <c r="C32" s="6">
        <v>45828</v>
      </c>
      <c r="D32" t="s">
        <v>574</v>
      </c>
      <c r="E32" t="s">
        <v>285</v>
      </c>
      <c r="F32" s="7"/>
      <c r="G32" s="7">
        <v>17000</v>
      </c>
      <c r="H32" s="7">
        <v>929360</v>
      </c>
    </row>
    <row r="33" spans="1:8" x14ac:dyDescent="0.25">
      <c r="A33" t="s">
        <v>35</v>
      </c>
      <c r="B33" t="s">
        <v>36</v>
      </c>
      <c r="C33" s="6">
        <v>45836</v>
      </c>
      <c r="D33" t="s">
        <v>575</v>
      </c>
      <c r="E33" t="s">
        <v>289</v>
      </c>
      <c r="F33" s="7"/>
      <c r="G33" s="7">
        <v>311520</v>
      </c>
      <c r="H33" s="7">
        <v>617840</v>
      </c>
    </row>
    <row r="34" spans="1:8" x14ac:dyDescent="0.25">
      <c r="A34" t="s">
        <v>35</v>
      </c>
      <c r="B34" t="s">
        <v>36</v>
      </c>
      <c r="C34" s="6">
        <v>45838</v>
      </c>
      <c r="D34" t="s">
        <v>580</v>
      </c>
      <c r="E34" t="s">
        <v>307</v>
      </c>
      <c r="F34" s="7">
        <v>3100</v>
      </c>
      <c r="G34" s="7"/>
      <c r="H34" s="7">
        <v>620940</v>
      </c>
    </row>
    <row r="35" spans="1:8" x14ac:dyDescent="0.25">
      <c r="A35" t="s">
        <v>35</v>
      </c>
      <c r="B35" t="s">
        <v>36</v>
      </c>
      <c r="C35" s="6">
        <v>45863</v>
      </c>
      <c r="D35" t="s">
        <v>585</v>
      </c>
      <c r="E35" t="s">
        <v>324</v>
      </c>
      <c r="F35" s="7"/>
      <c r="G35" s="7">
        <v>171100</v>
      </c>
      <c r="H35" s="7">
        <v>449840</v>
      </c>
    </row>
    <row r="36" spans="1:8" x14ac:dyDescent="0.25">
      <c r="A36" t="s">
        <v>35</v>
      </c>
      <c r="B36" t="s">
        <v>36</v>
      </c>
      <c r="C36" s="6">
        <v>45869</v>
      </c>
      <c r="D36" t="s">
        <v>586</v>
      </c>
      <c r="E36" t="s">
        <v>327</v>
      </c>
      <c r="F36" s="7">
        <v>115640</v>
      </c>
      <c r="G36" s="7"/>
      <c r="H36" s="7">
        <v>565480</v>
      </c>
    </row>
    <row r="37" spans="1:8" x14ac:dyDescent="0.25">
      <c r="A37" t="s">
        <v>35</v>
      </c>
      <c r="B37" t="s">
        <v>36</v>
      </c>
      <c r="C37" s="6">
        <v>45874</v>
      </c>
      <c r="D37" t="s">
        <v>589</v>
      </c>
      <c r="E37" t="s">
        <v>336</v>
      </c>
      <c r="F37" s="7"/>
      <c r="G37" s="7">
        <v>203200</v>
      </c>
      <c r="H37" s="7">
        <v>362280</v>
      </c>
    </row>
    <row r="38" spans="1:8" x14ac:dyDescent="0.25">
      <c r="A38" t="s">
        <v>35</v>
      </c>
      <c r="B38" t="s">
        <v>36</v>
      </c>
      <c r="C38" s="6">
        <v>45887</v>
      </c>
      <c r="D38" t="s">
        <v>591</v>
      </c>
      <c r="E38" t="s">
        <v>342</v>
      </c>
      <c r="F38" s="7">
        <v>100000</v>
      </c>
      <c r="G38" s="7"/>
      <c r="H38" s="7">
        <v>462280</v>
      </c>
    </row>
    <row r="39" spans="1:8" x14ac:dyDescent="0.25">
      <c r="A39" t="s">
        <v>35</v>
      </c>
      <c r="B39" t="s">
        <v>36</v>
      </c>
      <c r="C39" s="6">
        <v>45889</v>
      </c>
      <c r="D39" t="s">
        <v>592</v>
      </c>
      <c r="E39" t="s">
        <v>345</v>
      </c>
      <c r="F39" s="7"/>
      <c r="G39" s="7">
        <v>14160</v>
      </c>
      <c r="H39" s="7">
        <v>448120</v>
      </c>
    </row>
    <row r="40" spans="1:8" x14ac:dyDescent="0.25">
      <c r="A40" t="s">
        <v>35</v>
      </c>
      <c r="B40" t="s">
        <v>36</v>
      </c>
      <c r="C40" s="6">
        <v>45910</v>
      </c>
      <c r="D40" t="s">
        <v>595</v>
      </c>
      <c r="E40" t="s">
        <v>356</v>
      </c>
      <c r="F40" s="7"/>
      <c r="G40" s="7">
        <v>309120</v>
      </c>
      <c r="H40" s="7">
        <v>139000</v>
      </c>
    </row>
    <row r="41" spans="1:8" x14ac:dyDescent="0.25">
      <c r="A41" t="s">
        <v>35</v>
      </c>
      <c r="B41" t="s">
        <v>36</v>
      </c>
      <c r="C41" s="6">
        <v>45912</v>
      </c>
      <c r="D41" t="s">
        <v>596</v>
      </c>
      <c r="E41" t="s">
        <v>359</v>
      </c>
      <c r="F41" s="7">
        <v>500000</v>
      </c>
      <c r="G41" s="7"/>
      <c r="H41" s="7">
        <v>639000</v>
      </c>
    </row>
    <row r="42" spans="1:8" x14ac:dyDescent="0.25">
      <c r="A42" t="s">
        <v>35</v>
      </c>
      <c r="B42" t="s">
        <v>36</v>
      </c>
      <c r="C42" s="6">
        <v>45915</v>
      </c>
      <c r="D42" t="s">
        <v>597</v>
      </c>
      <c r="E42" t="s">
        <v>363</v>
      </c>
      <c r="F42" s="7"/>
      <c r="G42" s="7">
        <v>139300</v>
      </c>
      <c r="H42" s="7">
        <v>499700</v>
      </c>
    </row>
    <row r="43" spans="1:8" x14ac:dyDescent="0.25">
      <c r="A43" t="s">
        <v>35</v>
      </c>
      <c r="B43" t="s">
        <v>36</v>
      </c>
      <c r="C43" s="6">
        <v>45930</v>
      </c>
      <c r="D43" t="s">
        <v>602</v>
      </c>
      <c r="E43" t="s">
        <v>307</v>
      </c>
      <c r="F43" s="7">
        <v>3400</v>
      </c>
      <c r="G43" s="7"/>
      <c r="H43" s="7">
        <v>503100</v>
      </c>
    </row>
    <row r="44" spans="1:8" x14ac:dyDescent="0.25">
      <c r="A44" t="s">
        <v>35</v>
      </c>
      <c r="B44" t="s">
        <v>36</v>
      </c>
      <c r="C44" s="6">
        <v>45936</v>
      </c>
      <c r="D44" t="s">
        <v>605</v>
      </c>
      <c r="E44" t="s">
        <v>389</v>
      </c>
      <c r="F44" s="7"/>
      <c r="G44" s="7">
        <v>233640</v>
      </c>
      <c r="H44" s="7">
        <v>269460</v>
      </c>
    </row>
    <row r="45" spans="1:8" x14ac:dyDescent="0.25">
      <c r="A45" t="s">
        <v>35</v>
      </c>
      <c r="B45" t="s">
        <v>36</v>
      </c>
      <c r="C45" s="6">
        <v>45952</v>
      </c>
      <c r="D45" t="s">
        <v>609</v>
      </c>
      <c r="E45" t="s">
        <v>402</v>
      </c>
      <c r="F45" s="7">
        <v>690300</v>
      </c>
      <c r="G45" s="7"/>
      <c r="H45" s="7">
        <v>959760</v>
      </c>
    </row>
    <row r="46" spans="1:8" x14ac:dyDescent="0.25">
      <c r="A46" t="s">
        <v>35</v>
      </c>
      <c r="B46" t="s">
        <v>36</v>
      </c>
      <c r="C46" s="6">
        <v>45971</v>
      </c>
      <c r="D46" t="s">
        <v>613</v>
      </c>
      <c r="E46" t="s">
        <v>414</v>
      </c>
      <c r="F46" s="7">
        <v>380800</v>
      </c>
      <c r="G46" s="7"/>
      <c r="H46" s="7">
        <v>1340560</v>
      </c>
    </row>
    <row r="47" spans="1:8" x14ac:dyDescent="0.25">
      <c r="A47" t="s">
        <v>35</v>
      </c>
      <c r="B47" t="s">
        <v>36</v>
      </c>
      <c r="C47" s="6">
        <v>45976</v>
      </c>
      <c r="D47" t="s">
        <v>614</v>
      </c>
      <c r="E47" t="s">
        <v>417</v>
      </c>
      <c r="F47" s="7"/>
      <c r="G47" s="7">
        <v>269040</v>
      </c>
      <c r="H47" s="7">
        <v>1071520</v>
      </c>
    </row>
    <row r="48" spans="1:8" x14ac:dyDescent="0.25">
      <c r="A48" t="s">
        <v>35</v>
      </c>
      <c r="B48" t="s">
        <v>36</v>
      </c>
      <c r="C48" s="6">
        <v>45996</v>
      </c>
      <c r="D48" t="s">
        <v>619</v>
      </c>
      <c r="E48" t="s">
        <v>432</v>
      </c>
      <c r="F48" s="7">
        <v>350000</v>
      </c>
      <c r="G48" s="7"/>
      <c r="H48" s="7">
        <v>1421520</v>
      </c>
    </row>
    <row r="49" spans="1:8" x14ac:dyDescent="0.25">
      <c r="A49" t="s">
        <v>35</v>
      </c>
      <c r="B49" t="s">
        <v>36</v>
      </c>
      <c r="C49" s="6">
        <v>46001</v>
      </c>
      <c r="D49" t="s">
        <v>620</v>
      </c>
      <c r="E49" t="s">
        <v>436</v>
      </c>
      <c r="F49" s="7">
        <v>369600</v>
      </c>
      <c r="G49" s="7"/>
      <c r="H49" s="7">
        <v>1791120</v>
      </c>
    </row>
    <row r="50" spans="1:8" x14ac:dyDescent="0.25">
      <c r="A50" t="s">
        <v>35</v>
      </c>
      <c r="B50" t="s">
        <v>36</v>
      </c>
      <c r="C50" s="6">
        <v>46006</v>
      </c>
      <c r="D50" t="s">
        <v>621</v>
      </c>
      <c r="E50" t="s">
        <v>439</v>
      </c>
      <c r="F50" s="7"/>
      <c r="G50" s="7">
        <v>119200</v>
      </c>
      <c r="H50" s="7">
        <v>1671920</v>
      </c>
    </row>
    <row r="51" spans="1:8" x14ac:dyDescent="0.25">
      <c r="A51" t="s">
        <v>35</v>
      </c>
      <c r="B51" t="s">
        <v>36</v>
      </c>
      <c r="C51" s="6">
        <v>46011</v>
      </c>
      <c r="D51" t="s">
        <v>622</v>
      </c>
      <c r="E51" t="s">
        <v>443</v>
      </c>
      <c r="F51" s="7">
        <v>54500</v>
      </c>
      <c r="G51" s="7"/>
      <c r="H51" s="7">
        <v>1726420</v>
      </c>
    </row>
    <row r="52" spans="1:8" x14ac:dyDescent="0.25">
      <c r="A52" t="s">
        <v>35</v>
      </c>
      <c r="B52" t="s">
        <v>36</v>
      </c>
      <c r="C52" s="6">
        <v>46042</v>
      </c>
      <c r="D52" t="s">
        <v>630</v>
      </c>
      <c r="E52" t="s">
        <v>469</v>
      </c>
      <c r="F52" s="7">
        <v>118380</v>
      </c>
      <c r="G52" s="7"/>
      <c r="H52" s="7">
        <v>1844800</v>
      </c>
    </row>
    <row r="53" spans="1:8" x14ac:dyDescent="0.25">
      <c r="A53" t="s">
        <v>35</v>
      </c>
      <c r="B53" t="s">
        <v>36</v>
      </c>
      <c r="C53" s="6">
        <v>46063</v>
      </c>
      <c r="D53" t="s">
        <v>635</v>
      </c>
      <c r="E53" t="s">
        <v>484</v>
      </c>
      <c r="F53" s="7"/>
      <c r="G53" s="7">
        <v>2950</v>
      </c>
      <c r="H53" s="7">
        <v>1841850</v>
      </c>
    </row>
    <row r="54" spans="1:8" x14ac:dyDescent="0.25">
      <c r="A54" t="s">
        <v>35</v>
      </c>
      <c r="B54" t="s">
        <v>36</v>
      </c>
      <c r="C54" s="6">
        <v>46073</v>
      </c>
      <c r="D54" t="s">
        <v>639</v>
      </c>
      <c r="E54" t="s">
        <v>496</v>
      </c>
      <c r="F54" s="7"/>
      <c r="G54" s="7">
        <v>18000</v>
      </c>
      <c r="H54" s="7">
        <v>1823850</v>
      </c>
    </row>
    <row r="55" spans="1:8" x14ac:dyDescent="0.25">
      <c r="A55" t="s">
        <v>35</v>
      </c>
      <c r="B55" t="s">
        <v>36</v>
      </c>
      <c r="C55" s="6">
        <v>46073</v>
      </c>
      <c r="D55" t="s">
        <v>640</v>
      </c>
      <c r="E55" t="s">
        <v>499</v>
      </c>
      <c r="F55" s="7"/>
      <c r="G55" s="7">
        <v>3000</v>
      </c>
      <c r="H55" s="7">
        <v>1820850</v>
      </c>
    </row>
    <row r="56" spans="1:8" x14ac:dyDescent="0.25">
      <c r="A56" t="s">
        <v>35</v>
      </c>
      <c r="B56" t="s">
        <v>36</v>
      </c>
      <c r="C56" s="6">
        <v>46089</v>
      </c>
      <c r="D56" t="s">
        <v>644</v>
      </c>
      <c r="E56" t="s">
        <v>510</v>
      </c>
      <c r="F56" s="7"/>
      <c r="G56" s="7">
        <v>315840</v>
      </c>
      <c r="H56" s="7">
        <v>1505010</v>
      </c>
    </row>
    <row r="57" spans="1:8" x14ac:dyDescent="0.25">
      <c r="A57" t="s">
        <v>35</v>
      </c>
      <c r="B57" t="s">
        <v>36</v>
      </c>
      <c r="C57" s="6">
        <v>46091</v>
      </c>
      <c r="D57" t="s">
        <v>645</v>
      </c>
      <c r="E57" t="s">
        <v>513</v>
      </c>
      <c r="F57" s="7">
        <v>200000</v>
      </c>
      <c r="G57" s="7"/>
      <c r="H57" s="7">
        <v>1705010</v>
      </c>
    </row>
    <row r="58" spans="1:8" x14ac:dyDescent="0.25">
      <c r="A58" t="s">
        <v>35</v>
      </c>
      <c r="B58" t="s">
        <v>36</v>
      </c>
      <c r="C58" s="6">
        <v>46096</v>
      </c>
      <c r="D58" t="s">
        <v>647</v>
      </c>
      <c r="E58" t="s">
        <v>439</v>
      </c>
      <c r="F58" s="7"/>
      <c r="G58" s="7">
        <v>115500</v>
      </c>
      <c r="H58" s="7">
        <v>1589510</v>
      </c>
    </row>
    <row r="59" spans="1:8" s="15" customFormat="1" x14ac:dyDescent="0.25">
      <c r="A59" s="15" t="s">
        <v>34</v>
      </c>
      <c r="B59" s="15" t="s">
        <v>659</v>
      </c>
      <c r="C59" s="16"/>
      <c r="D59" s="15" t="s">
        <v>34</v>
      </c>
      <c r="E59" s="15" t="s">
        <v>34</v>
      </c>
      <c r="F59" s="17">
        <v>6225720</v>
      </c>
      <c r="G59" s="17">
        <v>4636210</v>
      </c>
      <c r="H59" s="17">
        <v>1589510</v>
      </c>
    </row>
    <row r="61" spans="1:8" s="3" customFormat="1" x14ac:dyDescent="0.25">
      <c r="A61" s="3" t="s">
        <v>37</v>
      </c>
      <c r="B61" s="3" t="s">
        <v>38</v>
      </c>
      <c r="C61" s="13"/>
      <c r="D61" s="3" t="s">
        <v>34</v>
      </c>
      <c r="E61" s="3" t="s">
        <v>657</v>
      </c>
      <c r="F61" s="14"/>
      <c r="G61" s="14"/>
      <c r="H61" s="14">
        <v>0</v>
      </c>
    </row>
    <row r="62" spans="1:8" x14ac:dyDescent="0.25">
      <c r="A62" t="s">
        <v>37</v>
      </c>
      <c r="B62" t="s">
        <v>38</v>
      </c>
      <c r="C62" s="6">
        <v>45749</v>
      </c>
      <c r="D62" t="s">
        <v>544</v>
      </c>
      <c r="E62" t="s">
        <v>151</v>
      </c>
      <c r="F62" s="7">
        <v>800000</v>
      </c>
      <c r="G62" s="7"/>
      <c r="H62" s="7">
        <v>800000</v>
      </c>
    </row>
    <row r="63" spans="1:8" x14ac:dyDescent="0.25">
      <c r="A63" t="s">
        <v>37</v>
      </c>
      <c r="B63" t="s">
        <v>38</v>
      </c>
      <c r="C63" s="6">
        <v>45751</v>
      </c>
      <c r="D63" t="s">
        <v>547</v>
      </c>
      <c r="E63" t="s">
        <v>165</v>
      </c>
      <c r="F63" s="7"/>
      <c r="G63" s="7">
        <v>141600</v>
      </c>
      <c r="H63" s="7">
        <v>658400</v>
      </c>
    </row>
    <row r="64" spans="1:8" x14ac:dyDescent="0.25">
      <c r="A64" t="s">
        <v>37</v>
      </c>
      <c r="B64" t="s">
        <v>38</v>
      </c>
      <c r="C64" s="6">
        <v>45765</v>
      </c>
      <c r="D64" t="s">
        <v>553</v>
      </c>
      <c r="E64" t="s">
        <v>200</v>
      </c>
      <c r="F64" s="7"/>
      <c r="G64" s="7">
        <v>383500</v>
      </c>
      <c r="H64" s="7">
        <v>274900</v>
      </c>
    </row>
    <row r="65" spans="1:8" x14ac:dyDescent="0.25">
      <c r="A65" t="s">
        <v>37</v>
      </c>
      <c r="B65" t="s">
        <v>38</v>
      </c>
      <c r="C65" s="6">
        <v>45772</v>
      </c>
      <c r="D65" t="s">
        <v>556</v>
      </c>
      <c r="E65" t="s">
        <v>215</v>
      </c>
      <c r="F65" s="7">
        <v>59000</v>
      </c>
      <c r="G65" s="7"/>
      <c r="H65" s="7">
        <v>333900</v>
      </c>
    </row>
    <row r="66" spans="1:8" x14ac:dyDescent="0.25">
      <c r="A66" t="s">
        <v>37</v>
      </c>
      <c r="B66" t="s">
        <v>38</v>
      </c>
      <c r="C66" s="6">
        <v>45773</v>
      </c>
      <c r="D66" t="s">
        <v>557</v>
      </c>
      <c r="E66" t="s">
        <v>218</v>
      </c>
      <c r="F66" s="7"/>
      <c r="G66" s="7">
        <v>8500</v>
      </c>
      <c r="H66" s="7">
        <v>325400</v>
      </c>
    </row>
    <row r="67" spans="1:8" x14ac:dyDescent="0.25">
      <c r="A67" t="s">
        <v>37</v>
      </c>
      <c r="B67" t="s">
        <v>38</v>
      </c>
      <c r="C67" s="6">
        <v>45775</v>
      </c>
      <c r="D67" t="s">
        <v>558</v>
      </c>
      <c r="E67" t="s">
        <v>224</v>
      </c>
      <c r="F67" s="7"/>
      <c r="G67" s="7">
        <v>29500</v>
      </c>
      <c r="H67" s="7">
        <v>295900</v>
      </c>
    </row>
    <row r="68" spans="1:8" x14ac:dyDescent="0.25">
      <c r="A68" t="s">
        <v>37</v>
      </c>
      <c r="B68" t="s">
        <v>38</v>
      </c>
      <c r="C68" s="6">
        <v>45779</v>
      </c>
      <c r="D68" t="s">
        <v>561</v>
      </c>
      <c r="E68" t="s">
        <v>238</v>
      </c>
      <c r="F68" s="7"/>
      <c r="G68" s="7">
        <v>37000</v>
      </c>
      <c r="H68" s="7">
        <v>258900</v>
      </c>
    </row>
    <row r="69" spans="1:8" x14ac:dyDescent="0.25">
      <c r="A69" t="s">
        <v>37</v>
      </c>
      <c r="B69" t="s">
        <v>38</v>
      </c>
      <c r="C69" s="6">
        <v>45787</v>
      </c>
      <c r="D69" t="s">
        <v>563</v>
      </c>
      <c r="E69" t="s">
        <v>245</v>
      </c>
      <c r="F69" s="7">
        <v>47200</v>
      </c>
      <c r="G69" s="7"/>
      <c r="H69" s="7">
        <v>306100</v>
      </c>
    </row>
    <row r="70" spans="1:8" x14ac:dyDescent="0.25">
      <c r="A70" t="s">
        <v>37</v>
      </c>
      <c r="B70" t="s">
        <v>38</v>
      </c>
      <c r="C70" s="6">
        <v>45802</v>
      </c>
      <c r="D70" t="s">
        <v>567</v>
      </c>
      <c r="E70" t="s">
        <v>262</v>
      </c>
      <c r="F70" s="7">
        <v>147840</v>
      </c>
      <c r="G70" s="7"/>
      <c r="H70" s="7">
        <v>453940</v>
      </c>
    </row>
    <row r="71" spans="1:8" x14ac:dyDescent="0.25">
      <c r="A71" t="s">
        <v>37</v>
      </c>
      <c r="B71" t="s">
        <v>38</v>
      </c>
      <c r="C71" s="6">
        <v>45810</v>
      </c>
      <c r="D71" t="s">
        <v>570</v>
      </c>
      <c r="E71" t="s">
        <v>271</v>
      </c>
      <c r="F71" s="7"/>
      <c r="G71" s="7">
        <v>37000</v>
      </c>
      <c r="H71" s="7">
        <v>416940</v>
      </c>
    </row>
    <row r="72" spans="1:8" x14ac:dyDescent="0.25">
      <c r="A72" t="s">
        <v>37</v>
      </c>
      <c r="B72" t="s">
        <v>38</v>
      </c>
      <c r="C72" s="6">
        <v>45838</v>
      </c>
      <c r="D72" t="s">
        <v>577</v>
      </c>
      <c r="E72" t="s">
        <v>295</v>
      </c>
      <c r="F72" s="7">
        <v>86730</v>
      </c>
      <c r="G72" s="7"/>
      <c r="H72" s="7">
        <v>503670</v>
      </c>
    </row>
    <row r="73" spans="1:8" x14ac:dyDescent="0.25">
      <c r="A73" t="s">
        <v>37</v>
      </c>
      <c r="B73" t="s">
        <v>38</v>
      </c>
      <c r="C73" s="6">
        <v>45840</v>
      </c>
      <c r="D73" t="s">
        <v>581</v>
      </c>
      <c r="E73" t="s">
        <v>310</v>
      </c>
      <c r="F73" s="7"/>
      <c r="G73" s="7">
        <v>37000</v>
      </c>
      <c r="H73" s="7">
        <v>466670</v>
      </c>
    </row>
    <row r="74" spans="1:8" x14ac:dyDescent="0.25">
      <c r="A74" t="s">
        <v>37</v>
      </c>
      <c r="B74" t="s">
        <v>38</v>
      </c>
      <c r="C74" s="6">
        <v>45853</v>
      </c>
      <c r="D74" t="s">
        <v>583</v>
      </c>
      <c r="E74" t="s">
        <v>316</v>
      </c>
      <c r="F74" s="7"/>
      <c r="G74" s="7">
        <v>47200</v>
      </c>
      <c r="H74" s="7">
        <v>419470</v>
      </c>
    </row>
    <row r="75" spans="1:8" x14ac:dyDescent="0.25">
      <c r="A75" t="s">
        <v>37</v>
      </c>
      <c r="B75" t="s">
        <v>38</v>
      </c>
      <c r="C75" s="6">
        <v>45871</v>
      </c>
      <c r="D75" t="s">
        <v>588</v>
      </c>
      <c r="E75" t="s">
        <v>333</v>
      </c>
      <c r="F75" s="7"/>
      <c r="G75" s="7">
        <v>37000</v>
      </c>
      <c r="H75" s="7">
        <v>382470</v>
      </c>
    </row>
    <row r="76" spans="1:8" x14ac:dyDescent="0.25">
      <c r="A76" t="s">
        <v>37</v>
      </c>
      <c r="B76" t="s">
        <v>38</v>
      </c>
      <c r="C76" s="6">
        <v>45881</v>
      </c>
      <c r="D76" t="s">
        <v>590</v>
      </c>
      <c r="E76" t="s">
        <v>339</v>
      </c>
      <c r="F76" s="7">
        <v>184800</v>
      </c>
      <c r="G76" s="7"/>
      <c r="H76" s="7">
        <v>567270</v>
      </c>
    </row>
    <row r="77" spans="1:8" x14ac:dyDescent="0.25">
      <c r="A77" t="s">
        <v>37</v>
      </c>
      <c r="B77" t="s">
        <v>38</v>
      </c>
      <c r="C77" s="6">
        <v>45902</v>
      </c>
      <c r="D77" t="s">
        <v>594</v>
      </c>
      <c r="E77" t="s">
        <v>353</v>
      </c>
      <c r="F77" s="7"/>
      <c r="G77" s="7">
        <v>37000</v>
      </c>
      <c r="H77" s="7">
        <v>530270</v>
      </c>
    </row>
    <row r="78" spans="1:8" x14ac:dyDescent="0.25">
      <c r="A78" t="s">
        <v>37</v>
      </c>
      <c r="B78" t="s">
        <v>38</v>
      </c>
      <c r="C78" s="6">
        <v>45920</v>
      </c>
      <c r="D78" t="s">
        <v>598</v>
      </c>
      <c r="E78" t="s">
        <v>367</v>
      </c>
      <c r="F78" s="7"/>
      <c r="G78" s="7">
        <v>10620</v>
      </c>
      <c r="H78" s="7">
        <v>519650</v>
      </c>
    </row>
    <row r="79" spans="1:8" x14ac:dyDescent="0.25">
      <c r="A79" t="s">
        <v>37</v>
      </c>
      <c r="B79" t="s">
        <v>38</v>
      </c>
      <c r="C79" s="6">
        <v>45931</v>
      </c>
      <c r="D79" t="s">
        <v>603</v>
      </c>
      <c r="E79" t="s">
        <v>383</v>
      </c>
      <c r="F79" s="7"/>
      <c r="G79" s="7">
        <v>37000</v>
      </c>
      <c r="H79" s="7">
        <v>482650</v>
      </c>
    </row>
    <row r="80" spans="1:8" x14ac:dyDescent="0.25">
      <c r="A80" t="s">
        <v>37</v>
      </c>
      <c r="B80" t="s">
        <v>38</v>
      </c>
      <c r="C80" s="6">
        <v>45942</v>
      </c>
      <c r="D80" t="s">
        <v>606</v>
      </c>
      <c r="E80" t="s">
        <v>392</v>
      </c>
      <c r="F80" s="7"/>
      <c r="G80" s="7">
        <v>70800</v>
      </c>
      <c r="H80" s="7">
        <v>411850</v>
      </c>
    </row>
    <row r="81" spans="1:8" x14ac:dyDescent="0.25">
      <c r="A81" t="s">
        <v>37</v>
      </c>
      <c r="B81" t="s">
        <v>38</v>
      </c>
      <c r="C81" s="6">
        <v>45948</v>
      </c>
      <c r="D81" t="s">
        <v>607</v>
      </c>
      <c r="E81" t="s">
        <v>395</v>
      </c>
      <c r="F81" s="7">
        <v>708000</v>
      </c>
      <c r="G81" s="7"/>
      <c r="H81" s="7">
        <v>1119850</v>
      </c>
    </row>
    <row r="82" spans="1:8" x14ac:dyDescent="0.25">
      <c r="A82" t="s">
        <v>37</v>
      </c>
      <c r="B82" t="s">
        <v>38</v>
      </c>
      <c r="C82" s="6">
        <v>45955</v>
      </c>
      <c r="D82" t="s">
        <v>610</v>
      </c>
      <c r="E82" t="s">
        <v>405</v>
      </c>
      <c r="F82" s="7">
        <v>29500</v>
      </c>
      <c r="G82" s="7"/>
      <c r="H82" s="7">
        <v>1149350</v>
      </c>
    </row>
    <row r="83" spans="1:8" x14ac:dyDescent="0.25">
      <c r="A83" t="s">
        <v>37</v>
      </c>
      <c r="B83" t="s">
        <v>38</v>
      </c>
      <c r="C83" s="6">
        <v>45963</v>
      </c>
      <c r="D83" t="s">
        <v>612</v>
      </c>
      <c r="E83" t="s">
        <v>411</v>
      </c>
      <c r="F83" s="7"/>
      <c r="G83" s="7">
        <v>37000</v>
      </c>
      <c r="H83" s="7">
        <v>1112350</v>
      </c>
    </row>
    <row r="84" spans="1:8" x14ac:dyDescent="0.25">
      <c r="A84" t="s">
        <v>37</v>
      </c>
      <c r="B84" t="s">
        <v>38</v>
      </c>
      <c r="C84" s="6">
        <v>45993</v>
      </c>
      <c r="D84" t="s">
        <v>618</v>
      </c>
      <c r="E84" t="s">
        <v>429</v>
      </c>
      <c r="F84" s="7"/>
      <c r="G84" s="7">
        <v>37000</v>
      </c>
      <c r="H84" s="7">
        <v>1075350</v>
      </c>
    </row>
    <row r="85" spans="1:8" x14ac:dyDescent="0.25">
      <c r="A85" t="s">
        <v>37</v>
      </c>
      <c r="B85" t="s">
        <v>38</v>
      </c>
      <c r="C85" s="6">
        <v>46024</v>
      </c>
      <c r="D85" t="s">
        <v>626</v>
      </c>
      <c r="E85" t="s">
        <v>456</v>
      </c>
      <c r="F85" s="7"/>
      <c r="G85" s="7">
        <v>37000</v>
      </c>
      <c r="H85" s="7">
        <v>1038350</v>
      </c>
    </row>
    <row r="86" spans="1:8" x14ac:dyDescent="0.25">
      <c r="A86" t="s">
        <v>37</v>
      </c>
      <c r="B86" t="s">
        <v>38</v>
      </c>
      <c r="C86" s="6">
        <v>46032</v>
      </c>
      <c r="D86" t="s">
        <v>627</v>
      </c>
      <c r="E86" t="s">
        <v>459</v>
      </c>
      <c r="F86" s="7"/>
      <c r="G86" s="7">
        <v>24000</v>
      </c>
      <c r="H86" s="7">
        <v>1014350</v>
      </c>
    </row>
    <row r="87" spans="1:8" x14ac:dyDescent="0.25">
      <c r="A87" t="s">
        <v>37</v>
      </c>
      <c r="B87" t="s">
        <v>38</v>
      </c>
      <c r="C87" s="6">
        <v>46037</v>
      </c>
      <c r="D87" t="s">
        <v>628</v>
      </c>
      <c r="E87" t="s">
        <v>462</v>
      </c>
      <c r="F87" s="7">
        <v>147500</v>
      </c>
      <c r="G87" s="7"/>
      <c r="H87" s="7">
        <v>1161850</v>
      </c>
    </row>
    <row r="88" spans="1:8" x14ac:dyDescent="0.25">
      <c r="A88" t="s">
        <v>37</v>
      </c>
      <c r="B88" t="s">
        <v>38</v>
      </c>
      <c r="C88" s="6">
        <v>46055</v>
      </c>
      <c r="D88" t="s">
        <v>634</v>
      </c>
      <c r="E88" t="s">
        <v>481</v>
      </c>
      <c r="F88" s="7"/>
      <c r="G88" s="7">
        <v>37000</v>
      </c>
      <c r="H88" s="7">
        <v>1124850</v>
      </c>
    </row>
    <row r="89" spans="1:8" x14ac:dyDescent="0.25">
      <c r="A89" t="s">
        <v>37</v>
      </c>
      <c r="B89" t="s">
        <v>38</v>
      </c>
      <c r="C89" s="6">
        <v>46065</v>
      </c>
      <c r="D89" t="s">
        <v>636</v>
      </c>
      <c r="E89" t="s">
        <v>487</v>
      </c>
      <c r="F89" s="7">
        <v>369600</v>
      </c>
      <c r="G89" s="7"/>
      <c r="H89" s="7">
        <v>1494450</v>
      </c>
    </row>
    <row r="90" spans="1:8" x14ac:dyDescent="0.25">
      <c r="A90" t="s">
        <v>37</v>
      </c>
      <c r="B90" t="s">
        <v>38</v>
      </c>
      <c r="C90" s="6">
        <v>46071</v>
      </c>
      <c r="D90" t="s">
        <v>638</v>
      </c>
      <c r="E90" t="s">
        <v>493</v>
      </c>
      <c r="F90" s="7">
        <v>177000</v>
      </c>
      <c r="G90" s="7"/>
      <c r="H90" s="7">
        <v>1671450</v>
      </c>
    </row>
    <row r="91" spans="1:8" x14ac:dyDescent="0.25">
      <c r="A91" t="s">
        <v>37</v>
      </c>
      <c r="B91" t="s">
        <v>38</v>
      </c>
      <c r="C91" s="6">
        <v>46083</v>
      </c>
      <c r="D91" t="s">
        <v>642</v>
      </c>
      <c r="E91" t="s">
        <v>505</v>
      </c>
      <c r="F91" s="7"/>
      <c r="G91" s="7">
        <v>37000</v>
      </c>
      <c r="H91" s="7">
        <v>1634450</v>
      </c>
    </row>
    <row r="92" spans="1:8" x14ac:dyDescent="0.25">
      <c r="A92" t="s">
        <v>37</v>
      </c>
      <c r="B92" t="s">
        <v>38</v>
      </c>
      <c r="C92" s="6">
        <v>46091</v>
      </c>
      <c r="D92" t="s">
        <v>645</v>
      </c>
      <c r="E92" t="s">
        <v>513</v>
      </c>
      <c r="F92" s="7"/>
      <c r="G92" s="7">
        <v>200000</v>
      </c>
      <c r="H92" s="7">
        <v>1434450</v>
      </c>
    </row>
    <row r="93" spans="1:8" s="15" customFormat="1" x14ac:dyDescent="0.25">
      <c r="A93" s="15" t="s">
        <v>34</v>
      </c>
      <c r="B93" s="15" t="s">
        <v>660</v>
      </c>
      <c r="C93" s="16"/>
      <c r="D93" s="15" t="s">
        <v>34</v>
      </c>
      <c r="E93" s="15" t="s">
        <v>34</v>
      </c>
      <c r="F93" s="17">
        <v>2757170</v>
      </c>
      <c r="G93" s="17">
        <v>1322720</v>
      </c>
      <c r="H93" s="17">
        <v>1434450</v>
      </c>
    </row>
    <row r="95" spans="1:8" s="3" customFormat="1" x14ac:dyDescent="0.25">
      <c r="A95" s="3" t="s">
        <v>39</v>
      </c>
      <c r="B95" s="3" t="s">
        <v>40</v>
      </c>
      <c r="C95" s="13"/>
      <c r="D95" s="3" t="s">
        <v>34</v>
      </c>
      <c r="E95" s="3" t="s">
        <v>657</v>
      </c>
      <c r="F95" s="14"/>
      <c r="G95" s="14"/>
      <c r="H95" s="14">
        <v>0</v>
      </c>
    </row>
    <row r="96" spans="1:8" x14ac:dyDescent="0.25">
      <c r="A96" t="s">
        <v>39</v>
      </c>
      <c r="B96" t="s">
        <v>40</v>
      </c>
      <c r="C96" s="6">
        <v>45769</v>
      </c>
      <c r="D96" t="s">
        <v>555</v>
      </c>
      <c r="E96" t="s">
        <v>211</v>
      </c>
      <c r="F96" s="7">
        <v>110880</v>
      </c>
      <c r="G96" s="7"/>
      <c r="H96" s="7">
        <v>110880</v>
      </c>
    </row>
    <row r="97" spans="1:8" x14ac:dyDescent="0.25">
      <c r="A97" t="s">
        <v>39</v>
      </c>
      <c r="B97" t="s">
        <v>40</v>
      </c>
      <c r="C97" s="6">
        <v>45792</v>
      </c>
      <c r="D97" t="s">
        <v>564</v>
      </c>
      <c r="E97" t="s">
        <v>249</v>
      </c>
      <c r="F97" s="7"/>
      <c r="G97" s="7">
        <v>40000</v>
      </c>
      <c r="H97" s="7">
        <v>70880</v>
      </c>
    </row>
    <row r="98" spans="1:8" x14ac:dyDescent="0.25">
      <c r="A98" t="s">
        <v>39</v>
      </c>
      <c r="B98" t="s">
        <v>40</v>
      </c>
      <c r="C98" s="6">
        <v>45799</v>
      </c>
      <c r="D98" t="s">
        <v>566</v>
      </c>
      <c r="E98" t="s">
        <v>258</v>
      </c>
      <c r="F98" s="7">
        <v>86730</v>
      </c>
      <c r="G98" s="7"/>
      <c r="H98" s="7">
        <v>157610</v>
      </c>
    </row>
    <row r="99" spans="1:8" x14ac:dyDescent="0.25">
      <c r="A99" t="s">
        <v>39</v>
      </c>
      <c r="B99" t="s">
        <v>40</v>
      </c>
      <c r="C99" s="6">
        <v>45838</v>
      </c>
      <c r="D99" t="s">
        <v>577</v>
      </c>
      <c r="E99" t="s">
        <v>295</v>
      </c>
      <c r="F99" s="7"/>
      <c r="G99" s="7">
        <v>86730</v>
      </c>
      <c r="H99" s="7">
        <v>70880</v>
      </c>
    </row>
    <row r="100" spans="1:8" x14ac:dyDescent="0.25">
      <c r="A100" t="s">
        <v>39</v>
      </c>
      <c r="B100" t="s">
        <v>40</v>
      </c>
      <c r="C100" s="6">
        <v>45848</v>
      </c>
      <c r="D100" t="s">
        <v>582</v>
      </c>
      <c r="E100" t="s">
        <v>313</v>
      </c>
      <c r="F100" s="7">
        <v>147500</v>
      </c>
      <c r="G100" s="7"/>
      <c r="H100" s="7">
        <v>218380</v>
      </c>
    </row>
    <row r="101" spans="1:8" x14ac:dyDescent="0.25">
      <c r="A101" t="s">
        <v>39</v>
      </c>
      <c r="B101" t="s">
        <v>40</v>
      </c>
      <c r="C101" s="6">
        <v>45887</v>
      </c>
      <c r="D101" t="s">
        <v>591</v>
      </c>
      <c r="E101" t="s">
        <v>342</v>
      </c>
      <c r="F101" s="7"/>
      <c r="G101" s="7">
        <v>100000</v>
      </c>
      <c r="H101" s="7">
        <v>118380</v>
      </c>
    </row>
    <row r="102" spans="1:8" x14ac:dyDescent="0.25">
      <c r="A102" t="s">
        <v>39</v>
      </c>
      <c r="B102" t="s">
        <v>40</v>
      </c>
      <c r="C102" s="6">
        <v>45950</v>
      </c>
      <c r="D102" t="s">
        <v>608</v>
      </c>
      <c r="E102" t="s">
        <v>398</v>
      </c>
      <c r="F102" s="7">
        <v>380800</v>
      </c>
      <c r="G102" s="7"/>
      <c r="H102" s="7">
        <v>499180</v>
      </c>
    </row>
    <row r="103" spans="1:8" x14ac:dyDescent="0.25">
      <c r="A103" t="s">
        <v>39</v>
      </c>
      <c r="B103" t="s">
        <v>40</v>
      </c>
      <c r="C103" s="6">
        <v>45971</v>
      </c>
      <c r="D103" t="s">
        <v>613</v>
      </c>
      <c r="E103" t="s">
        <v>414</v>
      </c>
      <c r="F103" s="7"/>
      <c r="G103" s="7">
        <v>380800</v>
      </c>
      <c r="H103" s="7">
        <v>118380</v>
      </c>
    </row>
    <row r="104" spans="1:8" x14ac:dyDescent="0.25">
      <c r="A104" t="s">
        <v>39</v>
      </c>
      <c r="B104" t="s">
        <v>40</v>
      </c>
      <c r="C104" s="6">
        <v>46042</v>
      </c>
      <c r="D104" t="s">
        <v>630</v>
      </c>
      <c r="E104" t="s">
        <v>469</v>
      </c>
      <c r="F104" s="7"/>
      <c r="G104" s="7">
        <v>118380</v>
      </c>
      <c r="H104" s="7">
        <v>0</v>
      </c>
    </row>
    <row r="105" spans="1:8" x14ac:dyDescent="0.25">
      <c r="A105" t="s">
        <v>39</v>
      </c>
      <c r="B105" t="s">
        <v>40</v>
      </c>
      <c r="C105" s="6">
        <v>46086</v>
      </c>
      <c r="D105" t="s">
        <v>643</v>
      </c>
      <c r="E105" t="s">
        <v>211</v>
      </c>
      <c r="F105" s="7">
        <v>277200</v>
      </c>
      <c r="G105" s="7"/>
      <c r="H105" s="7">
        <v>277200</v>
      </c>
    </row>
    <row r="106" spans="1:8" s="15" customFormat="1" x14ac:dyDescent="0.25">
      <c r="A106" s="15" t="s">
        <v>34</v>
      </c>
      <c r="B106" s="15" t="s">
        <v>661</v>
      </c>
      <c r="C106" s="16"/>
      <c r="D106" s="15" t="s">
        <v>34</v>
      </c>
      <c r="E106" s="15" t="s">
        <v>34</v>
      </c>
      <c r="F106" s="17">
        <v>1003110</v>
      </c>
      <c r="G106" s="17">
        <v>725910</v>
      </c>
      <c r="H106" s="17">
        <v>277200</v>
      </c>
    </row>
    <row r="108" spans="1:8" s="3" customFormat="1" x14ac:dyDescent="0.25">
      <c r="A108" s="3" t="s">
        <v>42</v>
      </c>
      <c r="B108" s="3" t="s">
        <v>43</v>
      </c>
      <c r="C108" s="13"/>
      <c r="D108" s="3" t="s">
        <v>34</v>
      </c>
      <c r="E108" s="3" t="s">
        <v>657</v>
      </c>
      <c r="F108" s="14"/>
      <c r="G108" s="14"/>
      <c r="H108" s="14">
        <v>0</v>
      </c>
    </row>
    <row r="109" spans="1:8" x14ac:dyDescent="0.25">
      <c r="A109" t="s">
        <v>42</v>
      </c>
      <c r="B109" t="s">
        <v>43</v>
      </c>
      <c r="C109" s="6">
        <v>46112</v>
      </c>
      <c r="D109" t="s">
        <v>648</v>
      </c>
      <c r="E109" t="s">
        <v>522</v>
      </c>
      <c r="F109" s="7">
        <v>2100</v>
      </c>
      <c r="G109" s="7"/>
      <c r="H109" s="7">
        <v>2100</v>
      </c>
    </row>
    <row r="110" spans="1:8" s="15" customFormat="1" x14ac:dyDescent="0.25">
      <c r="A110" s="15" t="s">
        <v>34</v>
      </c>
      <c r="B110" s="15" t="s">
        <v>662</v>
      </c>
      <c r="C110" s="16"/>
      <c r="D110" s="15" t="s">
        <v>34</v>
      </c>
      <c r="E110" s="15" t="s">
        <v>34</v>
      </c>
      <c r="F110" s="17">
        <v>2100</v>
      </c>
      <c r="G110" s="17">
        <v>0</v>
      </c>
      <c r="H110" s="17">
        <v>2100</v>
      </c>
    </row>
    <row r="112" spans="1:8" s="3" customFormat="1" x14ac:dyDescent="0.25">
      <c r="A112" s="3" t="s">
        <v>44</v>
      </c>
      <c r="B112" s="3" t="s">
        <v>45</v>
      </c>
      <c r="C112" s="13"/>
      <c r="D112" s="3" t="s">
        <v>34</v>
      </c>
      <c r="E112" s="3" t="s">
        <v>657</v>
      </c>
      <c r="F112" s="14"/>
      <c r="G112" s="14"/>
      <c r="H112" s="14">
        <v>0</v>
      </c>
    </row>
    <row r="113" spans="1:8" x14ac:dyDescent="0.25">
      <c r="A113" t="s">
        <v>44</v>
      </c>
      <c r="B113" t="s">
        <v>45</v>
      </c>
      <c r="C113" s="6">
        <v>45759</v>
      </c>
      <c r="D113" t="s">
        <v>551</v>
      </c>
      <c r="E113" t="s">
        <v>188</v>
      </c>
      <c r="F113" s="7">
        <v>280000</v>
      </c>
      <c r="G113" s="7"/>
      <c r="H113" s="7">
        <v>280000</v>
      </c>
    </row>
    <row r="114" spans="1:8" x14ac:dyDescent="0.25">
      <c r="A114" t="s">
        <v>44</v>
      </c>
      <c r="B114" t="s">
        <v>45</v>
      </c>
      <c r="C114" s="6">
        <v>45761</v>
      </c>
      <c r="D114" t="s">
        <v>552</v>
      </c>
      <c r="E114" t="s">
        <v>194</v>
      </c>
      <c r="F114" s="7">
        <v>360000</v>
      </c>
      <c r="G114" s="7"/>
      <c r="H114" s="7">
        <v>640000</v>
      </c>
    </row>
    <row r="115" spans="1:8" x14ac:dyDescent="0.25">
      <c r="A115" t="s">
        <v>44</v>
      </c>
      <c r="B115" t="s">
        <v>45</v>
      </c>
      <c r="C115" s="6">
        <v>45765</v>
      </c>
      <c r="D115" t="s">
        <v>553</v>
      </c>
      <c r="E115" t="s">
        <v>200</v>
      </c>
      <c r="F115" s="7">
        <v>325000</v>
      </c>
      <c r="G115" s="7"/>
      <c r="H115" s="7">
        <v>965000</v>
      </c>
    </row>
    <row r="116" spans="1:8" x14ac:dyDescent="0.25">
      <c r="A116" t="s">
        <v>44</v>
      </c>
      <c r="B116" t="s">
        <v>45</v>
      </c>
      <c r="C116" s="6">
        <v>45767</v>
      </c>
      <c r="D116" t="s">
        <v>554</v>
      </c>
      <c r="E116" t="s">
        <v>206</v>
      </c>
      <c r="F116" s="7"/>
      <c r="G116" s="7">
        <v>28000</v>
      </c>
      <c r="H116" s="7">
        <v>937000</v>
      </c>
    </row>
    <row r="117" spans="1:8" x14ac:dyDescent="0.25">
      <c r="A117" t="s">
        <v>44</v>
      </c>
      <c r="B117" t="s">
        <v>45</v>
      </c>
      <c r="C117" s="6">
        <v>45769</v>
      </c>
      <c r="D117" t="s">
        <v>555</v>
      </c>
      <c r="E117" t="s">
        <v>211</v>
      </c>
      <c r="F117" s="7"/>
      <c r="G117" s="7">
        <v>54000</v>
      </c>
      <c r="H117" s="7">
        <v>883000</v>
      </c>
    </row>
    <row r="118" spans="1:8" x14ac:dyDescent="0.25">
      <c r="A118" t="s">
        <v>44</v>
      </c>
      <c r="B118" t="s">
        <v>45</v>
      </c>
      <c r="C118" s="6">
        <v>45772</v>
      </c>
      <c r="D118" t="s">
        <v>556</v>
      </c>
      <c r="E118" t="s">
        <v>215</v>
      </c>
      <c r="F118" s="7"/>
      <c r="G118" s="7">
        <v>26000</v>
      </c>
      <c r="H118" s="7">
        <v>857000</v>
      </c>
    </row>
    <row r="119" spans="1:8" x14ac:dyDescent="0.25">
      <c r="A119" t="s">
        <v>44</v>
      </c>
      <c r="B119" t="s">
        <v>45</v>
      </c>
      <c r="C119" s="6">
        <v>45799</v>
      </c>
      <c r="D119" t="s">
        <v>566</v>
      </c>
      <c r="E119" t="s">
        <v>258</v>
      </c>
      <c r="F119" s="7"/>
      <c r="G119" s="7">
        <v>42000</v>
      </c>
      <c r="H119" s="7">
        <v>815000</v>
      </c>
    </row>
    <row r="120" spans="1:8" x14ac:dyDescent="0.25">
      <c r="A120" t="s">
        <v>44</v>
      </c>
      <c r="B120" t="s">
        <v>45</v>
      </c>
      <c r="C120" s="6">
        <v>45802</v>
      </c>
      <c r="D120" t="s">
        <v>567</v>
      </c>
      <c r="E120" t="s">
        <v>262</v>
      </c>
      <c r="F120" s="7"/>
      <c r="G120" s="7">
        <v>72000</v>
      </c>
      <c r="H120" s="7">
        <v>743000</v>
      </c>
    </row>
    <row r="121" spans="1:8" x14ac:dyDescent="0.25">
      <c r="A121" t="s">
        <v>44</v>
      </c>
      <c r="B121" t="s">
        <v>45</v>
      </c>
      <c r="C121" s="6">
        <v>45818</v>
      </c>
      <c r="D121" t="s">
        <v>572</v>
      </c>
      <c r="E121" t="s">
        <v>277</v>
      </c>
      <c r="F121" s="7">
        <v>145000</v>
      </c>
      <c r="G121" s="7"/>
      <c r="H121" s="7">
        <v>888000</v>
      </c>
    </row>
    <row r="122" spans="1:8" x14ac:dyDescent="0.25">
      <c r="A122" t="s">
        <v>44</v>
      </c>
      <c r="B122" t="s">
        <v>45</v>
      </c>
      <c r="C122" s="6">
        <v>45837</v>
      </c>
      <c r="D122" t="s">
        <v>576</v>
      </c>
      <c r="E122" t="s">
        <v>292</v>
      </c>
      <c r="F122" s="7"/>
      <c r="G122" s="7">
        <v>19500</v>
      </c>
      <c r="H122" s="7">
        <v>868500</v>
      </c>
    </row>
    <row r="123" spans="1:8" x14ac:dyDescent="0.25">
      <c r="A123" t="s">
        <v>44</v>
      </c>
      <c r="B123" t="s">
        <v>45</v>
      </c>
      <c r="C123" s="6">
        <v>45848</v>
      </c>
      <c r="D123" t="s">
        <v>582</v>
      </c>
      <c r="E123" t="s">
        <v>313</v>
      </c>
      <c r="F123" s="7"/>
      <c r="G123" s="7">
        <v>65000</v>
      </c>
      <c r="H123" s="7">
        <v>803500</v>
      </c>
    </row>
    <row r="124" spans="1:8" x14ac:dyDescent="0.25">
      <c r="A124" t="s">
        <v>44</v>
      </c>
      <c r="B124" t="s">
        <v>45</v>
      </c>
      <c r="C124" s="6">
        <v>45869</v>
      </c>
      <c r="D124" t="s">
        <v>586</v>
      </c>
      <c r="E124" t="s">
        <v>327</v>
      </c>
      <c r="F124" s="7"/>
      <c r="G124" s="7">
        <v>56800</v>
      </c>
      <c r="H124" s="7">
        <v>746700</v>
      </c>
    </row>
    <row r="125" spans="1:8" x14ac:dyDescent="0.25">
      <c r="A125" t="s">
        <v>44</v>
      </c>
      <c r="B125" t="s">
        <v>45</v>
      </c>
      <c r="C125" s="6">
        <v>45881</v>
      </c>
      <c r="D125" t="s">
        <v>590</v>
      </c>
      <c r="E125" t="s">
        <v>339</v>
      </c>
      <c r="F125" s="7"/>
      <c r="G125" s="7">
        <v>90000</v>
      </c>
      <c r="H125" s="7">
        <v>656700</v>
      </c>
    </row>
    <row r="126" spans="1:8" x14ac:dyDescent="0.25">
      <c r="A126" t="s">
        <v>44</v>
      </c>
      <c r="B126" t="s">
        <v>45</v>
      </c>
      <c r="C126" s="6">
        <v>45910</v>
      </c>
      <c r="D126" t="s">
        <v>595</v>
      </c>
      <c r="E126" t="s">
        <v>356</v>
      </c>
      <c r="F126" s="7">
        <v>276000</v>
      </c>
      <c r="G126" s="7"/>
      <c r="H126" s="7">
        <v>932700</v>
      </c>
    </row>
    <row r="127" spans="1:8" x14ac:dyDescent="0.25">
      <c r="A127" t="s">
        <v>44</v>
      </c>
      <c r="B127" t="s">
        <v>45</v>
      </c>
      <c r="C127" s="6">
        <v>45935</v>
      </c>
      <c r="D127" t="s">
        <v>604</v>
      </c>
      <c r="E127" t="s">
        <v>386</v>
      </c>
      <c r="F127" s="7">
        <v>228000</v>
      </c>
      <c r="G127" s="7"/>
      <c r="H127" s="7">
        <v>1160700</v>
      </c>
    </row>
    <row r="128" spans="1:8" x14ac:dyDescent="0.25">
      <c r="A128" t="s">
        <v>44</v>
      </c>
      <c r="B128" t="s">
        <v>45</v>
      </c>
      <c r="C128" s="6">
        <v>45936</v>
      </c>
      <c r="D128" t="s">
        <v>605</v>
      </c>
      <c r="E128" t="s">
        <v>389</v>
      </c>
      <c r="F128" s="7">
        <v>198000</v>
      </c>
      <c r="G128" s="7"/>
      <c r="H128" s="7">
        <v>1358700</v>
      </c>
    </row>
    <row r="129" spans="1:8" x14ac:dyDescent="0.25">
      <c r="A129" t="s">
        <v>44</v>
      </c>
      <c r="B129" t="s">
        <v>45</v>
      </c>
      <c r="C129" s="6">
        <v>45948</v>
      </c>
      <c r="D129" t="s">
        <v>607</v>
      </c>
      <c r="E129" t="s">
        <v>395</v>
      </c>
      <c r="F129" s="7"/>
      <c r="G129" s="7">
        <v>341318.92</v>
      </c>
      <c r="H129" s="7">
        <v>1017381.08</v>
      </c>
    </row>
    <row r="130" spans="1:8" x14ac:dyDescent="0.25">
      <c r="A130" t="s">
        <v>44</v>
      </c>
      <c r="B130" t="s">
        <v>45</v>
      </c>
      <c r="C130" s="6">
        <v>45950</v>
      </c>
      <c r="D130" t="s">
        <v>608</v>
      </c>
      <c r="E130" t="s">
        <v>398</v>
      </c>
      <c r="F130" s="7"/>
      <c r="G130" s="7">
        <v>182608.7</v>
      </c>
      <c r="H130" s="7">
        <v>834772.38</v>
      </c>
    </row>
    <row r="131" spans="1:8" x14ac:dyDescent="0.25">
      <c r="A131" t="s">
        <v>44</v>
      </c>
      <c r="B131" t="s">
        <v>45</v>
      </c>
      <c r="C131" s="6">
        <v>45952</v>
      </c>
      <c r="D131" t="s">
        <v>609</v>
      </c>
      <c r="E131" t="s">
        <v>402</v>
      </c>
      <c r="F131" s="7"/>
      <c r="G131" s="7">
        <v>294642.86</v>
      </c>
      <c r="H131" s="7">
        <v>540129.52</v>
      </c>
    </row>
    <row r="132" spans="1:8" x14ac:dyDescent="0.25">
      <c r="A132" t="s">
        <v>44</v>
      </c>
      <c r="B132" t="s">
        <v>45</v>
      </c>
      <c r="C132" s="6">
        <v>45986</v>
      </c>
      <c r="D132" t="s">
        <v>616</v>
      </c>
      <c r="E132" t="s">
        <v>423</v>
      </c>
      <c r="F132" s="7"/>
      <c r="G132" s="7">
        <v>85329.73</v>
      </c>
      <c r="H132" s="7">
        <v>454799.79</v>
      </c>
    </row>
    <row r="133" spans="1:8" x14ac:dyDescent="0.25">
      <c r="A133" t="s">
        <v>44</v>
      </c>
      <c r="B133" t="s">
        <v>45</v>
      </c>
      <c r="C133" s="6">
        <v>46001</v>
      </c>
      <c r="D133" t="s">
        <v>620</v>
      </c>
      <c r="E133" t="s">
        <v>436</v>
      </c>
      <c r="F133" s="7"/>
      <c r="G133" s="7">
        <v>182608.69</v>
      </c>
      <c r="H133" s="7">
        <v>272191.1</v>
      </c>
    </row>
    <row r="134" spans="1:8" x14ac:dyDescent="0.25">
      <c r="A134" t="s">
        <v>44</v>
      </c>
      <c r="B134" t="s">
        <v>45</v>
      </c>
      <c r="C134" s="6">
        <v>46037</v>
      </c>
      <c r="D134" t="s">
        <v>628</v>
      </c>
      <c r="E134" t="s">
        <v>462</v>
      </c>
      <c r="F134" s="7"/>
      <c r="G134" s="7">
        <v>65476.19</v>
      </c>
      <c r="H134" s="7">
        <v>206714.91</v>
      </c>
    </row>
    <row r="135" spans="1:8" x14ac:dyDescent="0.25">
      <c r="A135" t="s">
        <v>44</v>
      </c>
      <c r="B135" t="s">
        <v>45</v>
      </c>
      <c r="C135" s="6">
        <v>46047</v>
      </c>
      <c r="D135" t="s">
        <v>632</v>
      </c>
      <c r="E135" t="s">
        <v>475</v>
      </c>
      <c r="F135" s="7">
        <v>282000</v>
      </c>
      <c r="G135" s="7"/>
      <c r="H135" s="7">
        <v>488714.91</v>
      </c>
    </row>
    <row r="136" spans="1:8" x14ac:dyDescent="0.25">
      <c r="A136" t="s">
        <v>44</v>
      </c>
      <c r="B136" t="s">
        <v>45</v>
      </c>
      <c r="C136" s="6">
        <v>46065</v>
      </c>
      <c r="D136" t="s">
        <v>636</v>
      </c>
      <c r="E136" t="s">
        <v>487</v>
      </c>
      <c r="F136" s="7"/>
      <c r="G136" s="7">
        <v>187101.45</v>
      </c>
      <c r="H136" s="7">
        <v>301613.46</v>
      </c>
    </row>
    <row r="137" spans="1:8" x14ac:dyDescent="0.25">
      <c r="A137" t="s">
        <v>44</v>
      </c>
      <c r="B137" t="s">
        <v>45</v>
      </c>
      <c r="C137" s="6">
        <v>46071</v>
      </c>
      <c r="D137" t="s">
        <v>638</v>
      </c>
      <c r="E137" t="s">
        <v>493</v>
      </c>
      <c r="F137" s="7"/>
      <c r="G137" s="7">
        <v>85329.73</v>
      </c>
      <c r="H137" s="7">
        <v>216283.73</v>
      </c>
    </row>
    <row r="138" spans="1:8" x14ac:dyDescent="0.25">
      <c r="A138" t="s">
        <v>44</v>
      </c>
      <c r="B138" t="s">
        <v>45</v>
      </c>
      <c r="C138" s="6">
        <v>46086</v>
      </c>
      <c r="D138" t="s">
        <v>643</v>
      </c>
      <c r="E138" t="s">
        <v>211</v>
      </c>
      <c r="F138" s="7"/>
      <c r="G138" s="7">
        <v>140326.09</v>
      </c>
      <c r="H138" s="7">
        <v>75957.64</v>
      </c>
    </row>
    <row r="139" spans="1:8" x14ac:dyDescent="0.25">
      <c r="A139" t="s">
        <v>44</v>
      </c>
      <c r="B139" t="s">
        <v>45</v>
      </c>
      <c r="C139" s="6">
        <v>46093</v>
      </c>
      <c r="D139" t="s">
        <v>646</v>
      </c>
      <c r="E139" t="s">
        <v>516</v>
      </c>
      <c r="F139" s="7">
        <v>118000</v>
      </c>
      <c r="G139" s="7"/>
      <c r="H139" s="7">
        <v>193957.64</v>
      </c>
    </row>
    <row r="140" spans="1:8" s="15" customFormat="1" x14ac:dyDescent="0.25">
      <c r="A140" s="15" t="s">
        <v>34</v>
      </c>
      <c r="B140" s="15" t="s">
        <v>663</v>
      </c>
      <c r="C140" s="16"/>
      <c r="D140" s="15" t="s">
        <v>34</v>
      </c>
      <c r="E140" s="15" t="s">
        <v>34</v>
      </c>
      <c r="F140" s="17">
        <v>2212000</v>
      </c>
      <c r="G140" s="17">
        <v>2018042.36</v>
      </c>
      <c r="H140" s="17">
        <v>193957.64</v>
      </c>
    </row>
    <row r="142" spans="1:8" s="3" customFormat="1" x14ac:dyDescent="0.25">
      <c r="A142" s="3" t="s">
        <v>46</v>
      </c>
      <c r="B142" s="3" t="s">
        <v>47</v>
      </c>
      <c r="C142" s="13"/>
      <c r="D142" s="3" t="s">
        <v>34</v>
      </c>
      <c r="E142" s="3" t="s">
        <v>657</v>
      </c>
      <c r="F142" s="14"/>
      <c r="G142" s="14"/>
      <c r="H142" s="14">
        <v>0</v>
      </c>
    </row>
    <row r="143" spans="1:8" x14ac:dyDescent="0.25">
      <c r="A143" t="s">
        <v>46</v>
      </c>
      <c r="B143" t="s">
        <v>47</v>
      </c>
      <c r="C143" s="6">
        <v>45836</v>
      </c>
      <c r="D143" t="s">
        <v>575</v>
      </c>
      <c r="E143" t="s">
        <v>289</v>
      </c>
      <c r="F143" s="7">
        <v>264000</v>
      </c>
      <c r="G143" s="7"/>
      <c r="H143" s="7">
        <v>264000</v>
      </c>
    </row>
    <row r="144" spans="1:8" x14ac:dyDescent="0.25">
      <c r="A144" t="s">
        <v>46</v>
      </c>
      <c r="B144" t="s">
        <v>47</v>
      </c>
      <c r="C144" s="6">
        <v>45930</v>
      </c>
      <c r="D144" t="s">
        <v>599</v>
      </c>
      <c r="E144" t="s">
        <v>372</v>
      </c>
      <c r="F144" s="7"/>
      <c r="G144" s="7">
        <v>66000</v>
      </c>
      <c r="H144" s="7">
        <v>198000</v>
      </c>
    </row>
    <row r="145" spans="1:8" x14ac:dyDescent="0.25">
      <c r="A145" t="s">
        <v>46</v>
      </c>
      <c r="B145" t="s">
        <v>47</v>
      </c>
      <c r="C145" s="6">
        <v>46022</v>
      </c>
      <c r="D145" t="s">
        <v>623</v>
      </c>
      <c r="E145" t="s">
        <v>447</v>
      </c>
      <c r="F145" s="7"/>
      <c r="G145" s="7">
        <v>66000</v>
      </c>
      <c r="H145" s="7">
        <v>132000</v>
      </c>
    </row>
    <row r="146" spans="1:8" x14ac:dyDescent="0.25">
      <c r="A146" t="s">
        <v>46</v>
      </c>
      <c r="B146" t="s">
        <v>47</v>
      </c>
      <c r="C146" s="6">
        <v>46112</v>
      </c>
      <c r="D146" t="s">
        <v>650</v>
      </c>
      <c r="E146" t="s">
        <v>529</v>
      </c>
      <c r="F146" s="7"/>
      <c r="G146" s="7">
        <v>66000</v>
      </c>
      <c r="H146" s="7">
        <v>66000</v>
      </c>
    </row>
    <row r="147" spans="1:8" s="15" customFormat="1" x14ac:dyDescent="0.25">
      <c r="A147" s="15" t="s">
        <v>34</v>
      </c>
      <c r="B147" s="15" t="s">
        <v>664</v>
      </c>
      <c r="C147" s="16"/>
      <c r="D147" s="15" t="s">
        <v>34</v>
      </c>
      <c r="E147" s="15" t="s">
        <v>34</v>
      </c>
      <c r="F147" s="17">
        <v>264000</v>
      </c>
      <c r="G147" s="17">
        <v>198000</v>
      </c>
      <c r="H147" s="17">
        <v>66000</v>
      </c>
    </row>
    <row r="149" spans="1:8" s="3" customFormat="1" x14ac:dyDescent="0.25">
      <c r="A149" s="3" t="s">
        <v>49</v>
      </c>
      <c r="B149" s="3" t="s">
        <v>50</v>
      </c>
      <c r="C149" s="13"/>
      <c r="D149" s="3" t="s">
        <v>34</v>
      </c>
      <c r="E149" s="3" t="s">
        <v>657</v>
      </c>
      <c r="F149" s="14"/>
      <c r="G149" s="14"/>
      <c r="H149" s="14">
        <v>0</v>
      </c>
    </row>
    <row r="150" spans="1:8" x14ac:dyDescent="0.25">
      <c r="A150" t="s">
        <v>49</v>
      </c>
      <c r="B150" t="s">
        <v>50</v>
      </c>
      <c r="C150" s="6">
        <v>45750</v>
      </c>
      <c r="D150" t="s">
        <v>546</v>
      </c>
      <c r="E150" t="s">
        <v>160</v>
      </c>
      <c r="F150" s="7">
        <v>27000</v>
      </c>
      <c r="G150" s="7"/>
      <c r="H150" s="7">
        <v>27000</v>
      </c>
    </row>
    <row r="151" spans="1:8" x14ac:dyDescent="0.25">
      <c r="A151" t="s">
        <v>49</v>
      </c>
      <c r="B151" t="s">
        <v>50</v>
      </c>
      <c r="C151" s="6">
        <v>45751</v>
      </c>
      <c r="D151" t="s">
        <v>547</v>
      </c>
      <c r="E151" t="s">
        <v>165</v>
      </c>
      <c r="F151" s="7">
        <v>21600</v>
      </c>
      <c r="G151" s="7"/>
      <c r="H151" s="7">
        <v>48600</v>
      </c>
    </row>
    <row r="152" spans="1:8" x14ac:dyDescent="0.25">
      <c r="A152" t="s">
        <v>49</v>
      </c>
      <c r="B152" t="s">
        <v>50</v>
      </c>
      <c r="C152" s="6">
        <v>45753</v>
      </c>
      <c r="D152" t="s">
        <v>549</v>
      </c>
      <c r="E152" t="s">
        <v>176</v>
      </c>
      <c r="F152" s="7">
        <v>90000</v>
      </c>
      <c r="G152" s="7"/>
      <c r="H152" s="7">
        <v>138600</v>
      </c>
    </row>
    <row r="153" spans="1:8" x14ac:dyDescent="0.25">
      <c r="A153" t="s">
        <v>49</v>
      </c>
      <c r="B153" t="s">
        <v>50</v>
      </c>
      <c r="C153" s="6">
        <v>45757</v>
      </c>
      <c r="D153" t="s">
        <v>550</v>
      </c>
      <c r="E153" t="s">
        <v>182</v>
      </c>
      <c r="F153" s="7">
        <v>11880</v>
      </c>
      <c r="G153" s="7"/>
      <c r="H153" s="7">
        <v>150480</v>
      </c>
    </row>
    <row r="154" spans="1:8" x14ac:dyDescent="0.25">
      <c r="A154" t="s">
        <v>49</v>
      </c>
      <c r="B154" t="s">
        <v>50</v>
      </c>
      <c r="C154" s="6">
        <v>45759</v>
      </c>
      <c r="D154" t="s">
        <v>551</v>
      </c>
      <c r="E154" t="s">
        <v>188</v>
      </c>
      <c r="F154" s="7">
        <v>50400</v>
      </c>
      <c r="G154" s="7"/>
      <c r="H154" s="7">
        <v>200880</v>
      </c>
    </row>
    <row r="155" spans="1:8" x14ac:dyDescent="0.25">
      <c r="A155" t="s">
        <v>49</v>
      </c>
      <c r="B155" t="s">
        <v>50</v>
      </c>
      <c r="C155" s="6">
        <v>45761</v>
      </c>
      <c r="D155" t="s">
        <v>552</v>
      </c>
      <c r="E155" t="s">
        <v>194</v>
      </c>
      <c r="F155" s="7">
        <v>43200</v>
      </c>
      <c r="G155" s="7"/>
      <c r="H155" s="7">
        <v>244080</v>
      </c>
    </row>
    <row r="156" spans="1:8" x14ac:dyDescent="0.25">
      <c r="A156" t="s">
        <v>49</v>
      </c>
      <c r="B156" t="s">
        <v>50</v>
      </c>
      <c r="C156" s="6">
        <v>45765</v>
      </c>
      <c r="D156" t="s">
        <v>553</v>
      </c>
      <c r="E156" t="s">
        <v>200</v>
      </c>
      <c r="F156" s="7">
        <v>58500</v>
      </c>
      <c r="G156" s="7"/>
      <c r="H156" s="7">
        <v>302580</v>
      </c>
    </row>
    <row r="157" spans="1:8" x14ac:dyDescent="0.25">
      <c r="A157" t="s">
        <v>49</v>
      </c>
      <c r="B157" t="s">
        <v>50</v>
      </c>
      <c r="C157" s="6">
        <v>45775</v>
      </c>
      <c r="D157" t="s">
        <v>558</v>
      </c>
      <c r="E157" t="s">
        <v>224</v>
      </c>
      <c r="F157" s="7">
        <v>4500</v>
      </c>
      <c r="G157" s="7"/>
      <c r="H157" s="7">
        <v>307080</v>
      </c>
    </row>
    <row r="158" spans="1:8" x14ac:dyDescent="0.25">
      <c r="A158" t="s">
        <v>49</v>
      </c>
      <c r="B158" t="s">
        <v>50</v>
      </c>
      <c r="C158" s="6">
        <v>45777</v>
      </c>
      <c r="D158" t="s">
        <v>560</v>
      </c>
      <c r="E158" t="s">
        <v>234</v>
      </c>
      <c r="F158" s="7">
        <v>180</v>
      </c>
      <c r="G158" s="7"/>
      <c r="H158" s="7">
        <v>307260</v>
      </c>
    </row>
    <row r="159" spans="1:8" x14ac:dyDescent="0.25">
      <c r="A159" t="s">
        <v>49</v>
      </c>
      <c r="B159" t="s">
        <v>50</v>
      </c>
      <c r="C159" s="6">
        <v>45808</v>
      </c>
      <c r="D159" t="s">
        <v>569</v>
      </c>
      <c r="E159" t="s">
        <v>268</v>
      </c>
      <c r="F159" s="7">
        <v>180</v>
      </c>
      <c r="G159" s="7"/>
      <c r="H159" s="7">
        <v>307440</v>
      </c>
    </row>
    <row r="160" spans="1:8" x14ac:dyDescent="0.25">
      <c r="A160" t="s">
        <v>49</v>
      </c>
      <c r="B160" t="s">
        <v>50</v>
      </c>
      <c r="C160" s="6">
        <v>45818</v>
      </c>
      <c r="D160" t="s">
        <v>572</v>
      </c>
      <c r="E160" t="s">
        <v>277</v>
      </c>
      <c r="F160" s="7">
        <v>26100</v>
      </c>
      <c r="G160" s="7"/>
      <c r="H160" s="7">
        <v>333540</v>
      </c>
    </row>
    <row r="161" spans="1:8" x14ac:dyDescent="0.25">
      <c r="A161" t="s">
        <v>49</v>
      </c>
      <c r="B161" t="s">
        <v>50</v>
      </c>
      <c r="C161" s="6">
        <v>45836</v>
      </c>
      <c r="D161" t="s">
        <v>575</v>
      </c>
      <c r="E161" t="s">
        <v>289</v>
      </c>
      <c r="F161" s="7">
        <v>47520</v>
      </c>
      <c r="G161" s="7"/>
      <c r="H161" s="7">
        <v>381060</v>
      </c>
    </row>
    <row r="162" spans="1:8" x14ac:dyDescent="0.25">
      <c r="A162" t="s">
        <v>49</v>
      </c>
      <c r="B162" t="s">
        <v>50</v>
      </c>
      <c r="C162" s="6">
        <v>45853</v>
      </c>
      <c r="D162" t="s">
        <v>583</v>
      </c>
      <c r="E162" t="s">
        <v>316</v>
      </c>
      <c r="F162" s="7">
        <v>7200</v>
      </c>
      <c r="G162" s="7"/>
      <c r="H162" s="7">
        <v>388260</v>
      </c>
    </row>
    <row r="163" spans="1:8" x14ac:dyDescent="0.25">
      <c r="A163" t="s">
        <v>49</v>
      </c>
      <c r="B163" t="s">
        <v>50</v>
      </c>
      <c r="C163" s="6">
        <v>45858</v>
      </c>
      <c r="D163" t="s">
        <v>584</v>
      </c>
      <c r="E163" t="s">
        <v>320</v>
      </c>
      <c r="F163" s="7"/>
      <c r="G163" s="7">
        <v>95220</v>
      </c>
      <c r="H163" s="7">
        <v>293040</v>
      </c>
    </row>
    <row r="164" spans="1:8" x14ac:dyDescent="0.25">
      <c r="A164" t="s">
        <v>49</v>
      </c>
      <c r="B164" t="s">
        <v>50</v>
      </c>
      <c r="C164" s="6">
        <v>45889</v>
      </c>
      <c r="D164" t="s">
        <v>592</v>
      </c>
      <c r="E164" t="s">
        <v>345</v>
      </c>
      <c r="F164" s="7">
        <v>2160</v>
      </c>
      <c r="G164" s="7"/>
      <c r="H164" s="7">
        <v>295200</v>
      </c>
    </row>
    <row r="165" spans="1:8" x14ac:dyDescent="0.25">
      <c r="A165" t="s">
        <v>49</v>
      </c>
      <c r="B165" t="s">
        <v>50</v>
      </c>
      <c r="C165" s="6">
        <v>45910</v>
      </c>
      <c r="D165" t="s">
        <v>595</v>
      </c>
      <c r="E165" t="s">
        <v>356</v>
      </c>
      <c r="F165" s="7">
        <v>33120</v>
      </c>
      <c r="G165" s="7"/>
      <c r="H165" s="7">
        <v>328320</v>
      </c>
    </row>
    <row r="166" spans="1:8" x14ac:dyDescent="0.25">
      <c r="A166" t="s">
        <v>49</v>
      </c>
      <c r="B166" t="s">
        <v>50</v>
      </c>
      <c r="C166" s="6">
        <v>45920</v>
      </c>
      <c r="D166" t="s">
        <v>598</v>
      </c>
      <c r="E166" t="s">
        <v>367</v>
      </c>
      <c r="F166" s="7">
        <v>1620</v>
      </c>
      <c r="G166" s="7"/>
      <c r="H166" s="7">
        <v>329940</v>
      </c>
    </row>
    <row r="167" spans="1:8" x14ac:dyDescent="0.25">
      <c r="A167" t="s">
        <v>49</v>
      </c>
      <c r="B167" t="s">
        <v>50</v>
      </c>
      <c r="C167" s="6">
        <v>45935</v>
      </c>
      <c r="D167" t="s">
        <v>604</v>
      </c>
      <c r="E167" t="s">
        <v>386</v>
      </c>
      <c r="F167" s="7">
        <v>41040</v>
      </c>
      <c r="G167" s="7"/>
      <c r="H167" s="7">
        <v>370980</v>
      </c>
    </row>
    <row r="168" spans="1:8" x14ac:dyDescent="0.25">
      <c r="A168" t="s">
        <v>49</v>
      </c>
      <c r="B168" t="s">
        <v>50</v>
      </c>
      <c r="C168" s="6">
        <v>45936</v>
      </c>
      <c r="D168" t="s">
        <v>605</v>
      </c>
      <c r="E168" t="s">
        <v>389</v>
      </c>
      <c r="F168" s="7">
        <v>35640</v>
      </c>
      <c r="G168" s="7"/>
      <c r="H168" s="7">
        <v>406620</v>
      </c>
    </row>
    <row r="169" spans="1:8" x14ac:dyDescent="0.25">
      <c r="A169" t="s">
        <v>49</v>
      </c>
      <c r="B169" t="s">
        <v>50</v>
      </c>
      <c r="C169" s="6">
        <v>45942</v>
      </c>
      <c r="D169" t="s">
        <v>606</v>
      </c>
      <c r="E169" t="s">
        <v>392</v>
      </c>
      <c r="F169" s="7">
        <v>10800</v>
      </c>
      <c r="G169" s="7"/>
      <c r="H169" s="7">
        <v>417420</v>
      </c>
    </row>
    <row r="170" spans="1:8" x14ac:dyDescent="0.25">
      <c r="A170" t="s">
        <v>49</v>
      </c>
      <c r="B170" t="s">
        <v>50</v>
      </c>
      <c r="C170" s="6">
        <v>45981</v>
      </c>
      <c r="D170" t="s">
        <v>615</v>
      </c>
      <c r="E170" t="s">
        <v>420</v>
      </c>
      <c r="F170" s="7"/>
      <c r="G170" s="7">
        <v>296040</v>
      </c>
      <c r="H170" s="7">
        <v>121380</v>
      </c>
    </row>
    <row r="171" spans="1:8" x14ac:dyDescent="0.25">
      <c r="A171" t="s">
        <v>49</v>
      </c>
      <c r="B171" t="s">
        <v>50</v>
      </c>
      <c r="C171" s="6">
        <v>46044</v>
      </c>
      <c r="D171" t="s">
        <v>631</v>
      </c>
      <c r="E171" t="s">
        <v>472</v>
      </c>
      <c r="F171" s="7"/>
      <c r="G171" s="7">
        <v>88830</v>
      </c>
      <c r="H171" s="7">
        <v>32550</v>
      </c>
    </row>
    <row r="172" spans="1:8" x14ac:dyDescent="0.25">
      <c r="A172" t="s">
        <v>49</v>
      </c>
      <c r="B172" t="s">
        <v>50</v>
      </c>
      <c r="C172" s="6">
        <v>46047</v>
      </c>
      <c r="D172" t="s">
        <v>632</v>
      </c>
      <c r="E172" t="s">
        <v>475</v>
      </c>
      <c r="F172" s="7">
        <v>33840</v>
      </c>
      <c r="G172" s="7"/>
      <c r="H172" s="7">
        <v>66390</v>
      </c>
    </row>
    <row r="173" spans="1:8" x14ac:dyDescent="0.25">
      <c r="A173" t="s">
        <v>49</v>
      </c>
      <c r="B173" t="s">
        <v>50</v>
      </c>
      <c r="C173" s="6">
        <v>46063</v>
      </c>
      <c r="D173" t="s">
        <v>635</v>
      </c>
      <c r="E173" t="s">
        <v>484</v>
      </c>
      <c r="F173" s="7">
        <v>450</v>
      </c>
      <c r="G173" s="7"/>
      <c r="H173" s="7">
        <v>66840</v>
      </c>
    </row>
    <row r="174" spans="1:8" x14ac:dyDescent="0.25">
      <c r="A174" t="s">
        <v>49</v>
      </c>
      <c r="B174" t="s">
        <v>50</v>
      </c>
      <c r="C174" s="6">
        <v>46073</v>
      </c>
      <c r="D174" t="s">
        <v>640</v>
      </c>
      <c r="E174" t="s">
        <v>499</v>
      </c>
      <c r="F174" s="7"/>
      <c r="G174" s="7">
        <v>66840</v>
      </c>
      <c r="H174" s="7">
        <v>0</v>
      </c>
    </row>
    <row r="175" spans="1:8" x14ac:dyDescent="0.25">
      <c r="A175" t="s">
        <v>49</v>
      </c>
      <c r="B175" t="s">
        <v>50</v>
      </c>
      <c r="C175" s="6">
        <v>46093</v>
      </c>
      <c r="D175" t="s">
        <v>646</v>
      </c>
      <c r="E175" t="s">
        <v>516</v>
      </c>
      <c r="F175" s="7">
        <v>21240</v>
      </c>
      <c r="G175" s="7"/>
      <c r="H175" s="7">
        <v>21240</v>
      </c>
    </row>
    <row r="176" spans="1:8" s="15" customFormat="1" x14ac:dyDescent="0.25">
      <c r="A176" s="15" t="s">
        <v>34</v>
      </c>
      <c r="B176" s="15" t="s">
        <v>665</v>
      </c>
      <c r="C176" s="16"/>
      <c r="D176" s="15" t="s">
        <v>34</v>
      </c>
      <c r="E176" s="15" t="s">
        <v>34</v>
      </c>
      <c r="F176" s="17">
        <v>568170</v>
      </c>
      <c r="G176" s="17">
        <v>546930</v>
      </c>
      <c r="H176" s="17">
        <v>21240</v>
      </c>
    </row>
    <row r="178" spans="1:8" s="3" customFormat="1" x14ac:dyDescent="0.25">
      <c r="A178" s="3" t="s">
        <v>52</v>
      </c>
      <c r="B178" s="3" t="s">
        <v>53</v>
      </c>
      <c r="C178" s="13"/>
      <c r="D178" s="3" t="s">
        <v>34</v>
      </c>
      <c r="E178" s="3" t="s">
        <v>657</v>
      </c>
      <c r="F178" s="14"/>
      <c r="G178" s="14"/>
      <c r="H178" s="14">
        <v>0</v>
      </c>
    </row>
    <row r="179" spans="1:8" x14ac:dyDescent="0.25">
      <c r="A179" t="s">
        <v>52</v>
      </c>
      <c r="B179" t="s">
        <v>53</v>
      </c>
      <c r="C179" s="6">
        <v>45820</v>
      </c>
      <c r="D179" t="s">
        <v>573</v>
      </c>
      <c r="E179" t="s">
        <v>281</v>
      </c>
      <c r="F179" s="7">
        <v>150000</v>
      </c>
      <c r="G179" s="7"/>
      <c r="H179" s="7">
        <v>150000</v>
      </c>
    </row>
    <row r="180" spans="1:8" x14ac:dyDescent="0.25">
      <c r="A180" t="s">
        <v>52</v>
      </c>
      <c r="B180" t="s">
        <v>53</v>
      </c>
      <c r="C180" s="6">
        <v>46011</v>
      </c>
      <c r="D180" t="s">
        <v>622</v>
      </c>
      <c r="E180" t="s">
        <v>443</v>
      </c>
      <c r="F180" s="7"/>
      <c r="G180" s="7">
        <v>50000</v>
      </c>
      <c r="H180" s="7">
        <v>100000</v>
      </c>
    </row>
    <row r="181" spans="1:8" s="15" customFormat="1" x14ac:dyDescent="0.25">
      <c r="A181" s="15" t="s">
        <v>34</v>
      </c>
      <c r="B181" s="15" t="s">
        <v>666</v>
      </c>
      <c r="C181" s="16"/>
      <c r="D181" s="15" t="s">
        <v>34</v>
      </c>
      <c r="E181" s="15" t="s">
        <v>34</v>
      </c>
      <c r="F181" s="17">
        <v>150000</v>
      </c>
      <c r="G181" s="17">
        <v>50000</v>
      </c>
      <c r="H181" s="17">
        <v>100000</v>
      </c>
    </row>
    <row r="183" spans="1:8" s="3" customFormat="1" x14ac:dyDescent="0.25">
      <c r="A183" s="3" t="s">
        <v>55</v>
      </c>
      <c r="B183" s="3" t="s">
        <v>56</v>
      </c>
      <c r="C183" s="13"/>
      <c r="D183" s="3" t="s">
        <v>34</v>
      </c>
      <c r="E183" s="3" t="s">
        <v>657</v>
      </c>
      <c r="F183" s="14"/>
      <c r="G183" s="14"/>
      <c r="H183" s="14">
        <v>0</v>
      </c>
    </row>
    <row r="184" spans="1:8" x14ac:dyDescent="0.25">
      <c r="A184" t="s">
        <v>55</v>
      </c>
      <c r="B184" t="s">
        <v>56</v>
      </c>
      <c r="C184" s="6">
        <v>45750</v>
      </c>
      <c r="D184" t="s">
        <v>546</v>
      </c>
      <c r="E184" t="s">
        <v>160</v>
      </c>
      <c r="F184" s="7">
        <v>150000</v>
      </c>
      <c r="G184" s="7"/>
      <c r="H184" s="7">
        <v>150000</v>
      </c>
    </row>
    <row r="185" spans="1:8" s="15" customFormat="1" x14ac:dyDescent="0.25">
      <c r="A185" s="15" t="s">
        <v>34</v>
      </c>
      <c r="B185" s="15" t="s">
        <v>667</v>
      </c>
      <c r="C185" s="16"/>
      <c r="D185" s="15" t="s">
        <v>34</v>
      </c>
      <c r="E185" s="15" t="s">
        <v>34</v>
      </c>
      <c r="F185" s="17">
        <v>150000</v>
      </c>
      <c r="G185" s="17">
        <v>0</v>
      </c>
      <c r="H185" s="17">
        <v>150000</v>
      </c>
    </row>
    <row r="187" spans="1:8" s="3" customFormat="1" x14ac:dyDescent="0.25">
      <c r="A187" s="3" t="s">
        <v>58</v>
      </c>
      <c r="B187" s="3" t="s">
        <v>59</v>
      </c>
      <c r="C187" s="13"/>
      <c r="D187" s="3" t="s">
        <v>34</v>
      </c>
      <c r="E187" s="3" t="s">
        <v>668</v>
      </c>
      <c r="F187" s="14"/>
      <c r="G187" s="14"/>
      <c r="H187" s="14">
        <v>0</v>
      </c>
    </row>
    <row r="188" spans="1:8" x14ac:dyDescent="0.25">
      <c r="A188" t="s">
        <v>58</v>
      </c>
      <c r="B188" t="s">
        <v>59</v>
      </c>
      <c r="C188" s="6">
        <v>45838</v>
      </c>
      <c r="D188" t="s">
        <v>579</v>
      </c>
      <c r="E188" t="s">
        <v>302</v>
      </c>
      <c r="F188" s="7"/>
      <c r="G188" s="7">
        <v>3413.7</v>
      </c>
      <c r="H188" s="7">
        <v>3413.7</v>
      </c>
    </row>
    <row r="189" spans="1:8" x14ac:dyDescent="0.25">
      <c r="A189" t="s">
        <v>58</v>
      </c>
      <c r="B189" t="s">
        <v>59</v>
      </c>
      <c r="C189" s="6">
        <v>45930</v>
      </c>
      <c r="D189" t="s">
        <v>600</v>
      </c>
      <c r="E189" t="s">
        <v>375</v>
      </c>
      <c r="F189" s="7"/>
      <c r="G189" s="7">
        <v>3528.77</v>
      </c>
      <c r="H189" s="7">
        <v>6942.47</v>
      </c>
    </row>
    <row r="190" spans="1:8" x14ac:dyDescent="0.25">
      <c r="A190" t="s">
        <v>58</v>
      </c>
      <c r="B190" t="s">
        <v>59</v>
      </c>
      <c r="C190" s="6">
        <v>46022</v>
      </c>
      <c r="D190" t="s">
        <v>624</v>
      </c>
      <c r="E190" t="s">
        <v>450</v>
      </c>
      <c r="F190" s="7"/>
      <c r="G190" s="7">
        <v>3528.77</v>
      </c>
      <c r="H190" s="7">
        <v>10471.24</v>
      </c>
    </row>
    <row r="191" spans="1:8" x14ac:dyDescent="0.25">
      <c r="A191" t="s">
        <v>58</v>
      </c>
      <c r="B191" t="s">
        <v>59</v>
      </c>
      <c r="C191" s="6">
        <v>46112</v>
      </c>
      <c r="D191" t="s">
        <v>651</v>
      </c>
      <c r="E191" t="s">
        <v>532</v>
      </c>
      <c r="F191" s="7"/>
      <c r="G191" s="7">
        <v>3452.05</v>
      </c>
      <c r="H191" s="7">
        <v>13923.29</v>
      </c>
    </row>
    <row r="192" spans="1:8" s="15" customFormat="1" x14ac:dyDescent="0.25">
      <c r="A192" s="15" t="s">
        <v>34</v>
      </c>
      <c r="B192" s="15" t="s">
        <v>669</v>
      </c>
      <c r="C192" s="16"/>
      <c r="D192" s="15" t="s">
        <v>34</v>
      </c>
      <c r="E192" s="15" t="s">
        <v>34</v>
      </c>
      <c r="F192" s="17">
        <v>0</v>
      </c>
      <c r="G192" s="17">
        <v>13923.29</v>
      </c>
      <c r="H192" s="17">
        <v>13923.29</v>
      </c>
    </row>
    <row r="194" spans="1:8" s="3" customFormat="1" x14ac:dyDescent="0.25">
      <c r="A194" s="3" t="s">
        <v>62</v>
      </c>
      <c r="B194" s="3" t="s">
        <v>63</v>
      </c>
      <c r="C194" s="13"/>
      <c r="D194" s="3" t="s">
        <v>34</v>
      </c>
      <c r="E194" s="3" t="s">
        <v>657</v>
      </c>
      <c r="F194" s="14"/>
      <c r="G194" s="14"/>
      <c r="H194" s="14">
        <v>0</v>
      </c>
    </row>
    <row r="195" spans="1:8" x14ac:dyDescent="0.25">
      <c r="A195" t="s">
        <v>62</v>
      </c>
      <c r="B195" t="s">
        <v>63</v>
      </c>
      <c r="C195" s="6">
        <v>45751</v>
      </c>
      <c r="D195" t="s">
        <v>547</v>
      </c>
      <c r="E195" t="s">
        <v>165</v>
      </c>
      <c r="F195" s="7">
        <v>120000</v>
      </c>
      <c r="G195" s="7"/>
      <c r="H195" s="7">
        <v>120000</v>
      </c>
    </row>
    <row r="196" spans="1:8" s="15" customFormat="1" x14ac:dyDescent="0.25">
      <c r="A196" s="15" t="s">
        <v>34</v>
      </c>
      <c r="B196" s="15" t="s">
        <v>670</v>
      </c>
      <c r="C196" s="16"/>
      <c r="D196" s="15" t="s">
        <v>34</v>
      </c>
      <c r="E196" s="15" t="s">
        <v>34</v>
      </c>
      <c r="F196" s="17">
        <v>120000</v>
      </c>
      <c r="G196" s="17">
        <v>0</v>
      </c>
      <c r="H196" s="17">
        <v>120000</v>
      </c>
    </row>
    <row r="198" spans="1:8" s="3" customFormat="1" x14ac:dyDescent="0.25">
      <c r="A198" s="3" t="s">
        <v>64</v>
      </c>
      <c r="B198" s="3" t="s">
        <v>65</v>
      </c>
      <c r="C198" s="13"/>
      <c r="D198" s="3" t="s">
        <v>34</v>
      </c>
      <c r="E198" s="3" t="s">
        <v>668</v>
      </c>
      <c r="F198" s="14"/>
      <c r="G198" s="14"/>
      <c r="H198" s="14">
        <v>0</v>
      </c>
    </row>
    <row r="199" spans="1:8" x14ac:dyDescent="0.25">
      <c r="A199" t="s">
        <v>64</v>
      </c>
      <c r="B199" t="s">
        <v>65</v>
      </c>
      <c r="C199" s="6">
        <v>45838</v>
      </c>
      <c r="D199" t="s">
        <v>579</v>
      </c>
      <c r="E199" t="s">
        <v>302</v>
      </c>
      <c r="F199" s="7"/>
      <c r="G199" s="7">
        <v>9161.64</v>
      </c>
      <c r="H199" s="7">
        <v>9161.64</v>
      </c>
    </row>
    <row r="200" spans="1:8" x14ac:dyDescent="0.25">
      <c r="A200" t="s">
        <v>64</v>
      </c>
      <c r="B200" t="s">
        <v>65</v>
      </c>
      <c r="C200" s="6">
        <v>45930</v>
      </c>
      <c r="D200" t="s">
        <v>600</v>
      </c>
      <c r="E200" t="s">
        <v>375</v>
      </c>
      <c r="F200" s="7"/>
      <c r="G200" s="7">
        <v>9578.08</v>
      </c>
      <c r="H200" s="7">
        <v>18739.72</v>
      </c>
    </row>
    <row r="201" spans="1:8" x14ac:dyDescent="0.25">
      <c r="A201" t="s">
        <v>64</v>
      </c>
      <c r="B201" t="s">
        <v>65</v>
      </c>
      <c r="C201" s="6">
        <v>46022</v>
      </c>
      <c r="D201" t="s">
        <v>624</v>
      </c>
      <c r="E201" t="s">
        <v>450</v>
      </c>
      <c r="F201" s="7"/>
      <c r="G201" s="7">
        <v>9578.08</v>
      </c>
      <c r="H201" s="7">
        <v>28317.8</v>
      </c>
    </row>
    <row r="202" spans="1:8" x14ac:dyDescent="0.25">
      <c r="A202" t="s">
        <v>64</v>
      </c>
      <c r="B202" t="s">
        <v>65</v>
      </c>
      <c r="C202" s="6">
        <v>46112</v>
      </c>
      <c r="D202" t="s">
        <v>651</v>
      </c>
      <c r="E202" t="s">
        <v>532</v>
      </c>
      <c r="F202" s="7"/>
      <c r="G202" s="7">
        <v>9369.86</v>
      </c>
      <c r="H202" s="7">
        <v>37687.66</v>
      </c>
    </row>
    <row r="203" spans="1:8" s="15" customFormat="1" x14ac:dyDescent="0.25">
      <c r="A203" s="15" t="s">
        <v>34</v>
      </c>
      <c r="B203" s="15" t="s">
        <v>671</v>
      </c>
      <c r="C203" s="16"/>
      <c r="D203" s="15" t="s">
        <v>34</v>
      </c>
      <c r="E203" s="15" t="s">
        <v>34</v>
      </c>
      <c r="F203" s="17">
        <v>0</v>
      </c>
      <c r="G203" s="17">
        <v>37687.66</v>
      </c>
      <c r="H203" s="17">
        <v>37687.66</v>
      </c>
    </row>
    <row r="205" spans="1:8" s="3" customFormat="1" x14ac:dyDescent="0.25">
      <c r="A205" s="3" t="s">
        <v>66</v>
      </c>
      <c r="B205" s="3" t="s">
        <v>67</v>
      </c>
      <c r="C205" s="13"/>
      <c r="D205" s="3" t="s">
        <v>34</v>
      </c>
      <c r="E205" s="3" t="s">
        <v>657</v>
      </c>
      <c r="F205" s="14"/>
      <c r="G205" s="14"/>
      <c r="H205" s="14">
        <v>0</v>
      </c>
    </row>
    <row r="206" spans="1:8" x14ac:dyDescent="0.25">
      <c r="A206" t="s">
        <v>66</v>
      </c>
      <c r="B206" t="s">
        <v>67</v>
      </c>
      <c r="C206" s="6">
        <v>45753</v>
      </c>
      <c r="D206" t="s">
        <v>549</v>
      </c>
      <c r="E206" t="s">
        <v>176</v>
      </c>
      <c r="F206" s="7">
        <v>500000</v>
      </c>
      <c r="G206" s="7"/>
      <c r="H206" s="7">
        <v>500000</v>
      </c>
    </row>
    <row r="207" spans="1:8" s="15" customFormat="1" x14ac:dyDescent="0.25">
      <c r="A207" s="15" t="s">
        <v>34</v>
      </c>
      <c r="B207" s="15" t="s">
        <v>672</v>
      </c>
      <c r="C207" s="16"/>
      <c r="D207" s="15" t="s">
        <v>34</v>
      </c>
      <c r="E207" s="15" t="s">
        <v>34</v>
      </c>
      <c r="F207" s="17">
        <v>500000</v>
      </c>
      <c r="G207" s="17">
        <v>0</v>
      </c>
      <c r="H207" s="17">
        <v>500000</v>
      </c>
    </row>
    <row r="209" spans="1:8" s="3" customFormat="1" x14ac:dyDescent="0.25">
      <c r="A209" s="3" t="s">
        <v>68</v>
      </c>
      <c r="B209" s="3" t="s">
        <v>69</v>
      </c>
      <c r="C209" s="13"/>
      <c r="D209" s="3" t="s">
        <v>34</v>
      </c>
      <c r="E209" s="3" t="s">
        <v>668</v>
      </c>
      <c r="F209" s="14"/>
      <c r="G209" s="14"/>
      <c r="H209" s="14">
        <v>0</v>
      </c>
    </row>
    <row r="210" spans="1:8" x14ac:dyDescent="0.25">
      <c r="A210" t="s">
        <v>68</v>
      </c>
      <c r="B210" t="s">
        <v>69</v>
      </c>
      <c r="C210" s="6">
        <v>45838</v>
      </c>
      <c r="D210" t="s">
        <v>579</v>
      </c>
      <c r="E210" t="s">
        <v>302</v>
      </c>
      <c r="F210" s="7"/>
      <c r="G210" s="7">
        <v>12369.86</v>
      </c>
      <c r="H210" s="7">
        <v>12369.86</v>
      </c>
    </row>
    <row r="211" spans="1:8" x14ac:dyDescent="0.25">
      <c r="A211" t="s">
        <v>68</v>
      </c>
      <c r="B211" t="s">
        <v>69</v>
      </c>
      <c r="C211" s="6">
        <v>45930</v>
      </c>
      <c r="D211" t="s">
        <v>600</v>
      </c>
      <c r="E211" t="s">
        <v>375</v>
      </c>
      <c r="F211" s="7"/>
      <c r="G211" s="7">
        <v>13232.88</v>
      </c>
      <c r="H211" s="7">
        <v>25602.74</v>
      </c>
    </row>
    <row r="212" spans="1:8" x14ac:dyDescent="0.25">
      <c r="A212" t="s">
        <v>68</v>
      </c>
      <c r="B212" t="s">
        <v>69</v>
      </c>
      <c r="C212" s="6">
        <v>46022</v>
      </c>
      <c r="D212" t="s">
        <v>624</v>
      </c>
      <c r="E212" t="s">
        <v>450</v>
      </c>
      <c r="F212" s="7"/>
      <c r="G212" s="7">
        <v>13232.88</v>
      </c>
      <c r="H212" s="7">
        <v>38835.62</v>
      </c>
    </row>
    <row r="213" spans="1:8" x14ac:dyDescent="0.25">
      <c r="A213" t="s">
        <v>68</v>
      </c>
      <c r="B213" t="s">
        <v>69</v>
      </c>
      <c r="C213" s="6">
        <v>46112</v>
      </c>
      <c r="D213" t="s">
        <v>651</v>
      </c>
      <c r="E213" t="s">
        <v>532</v>
      </c>
      <c r="F213" s="7"/>
      <c r="G213" s="7">
        <v>12945.21</v>
      </c>
      <c r="H213" s="7">
        <v>51780.83</v>
      </c>
    </row>
    <row r="214" spans="1:8" s="15" customFormat="1" x14ac:dyDescent="0.25">
      <c r="A214" s="15" t="s">
        <v>34</v>
      </c>
      <c r="B214" s="15" t="s">
        <v>673</v>
      </c>
      <c r="C214" s="16"/>
      <c r="D214" s="15" t="s">
        <v>34</v>
      </c>
      <c r="E214" s="15" t="s">
        <v>34</v>
      </c>
      <c r="F214" s="17">
        <v>0</v>
      </c>
      <c r="G214" s="17">
        <v>51780.83</v>
      </c>
      <c r="H214" s="17">
        <v>51780.83</v>
      </c>
    </row>
    <row r="216" spans="1:8" s="3" customFormat="1" x14ac:dyDescent="0.25">
      <c r="A216" s="3" t="s">
        <v>70</v>
      </c>
      <c r="B216" s="3" t="s">
        <v>71</v>
      </c>
      <c r="C216" s="13"/>
      <c r="D216" s="3" t="s">
        <v>34</v>
      </c>
      <c r="E216" s="3" t="s">
        <v>668</v>
      </c>
      <c r="F216" s="14"/>
      <c r="G216" s="14"/>
      <c r="H216" s="14">
        <v>0</v>
      </c>
    </row>
    <row r="217" spans="1:8" x14ac:dyDescent="0.25">
      <c r="A217" t="s">
        <v>70</v>
      </c>
      <c r="B217" t="s">
        <v>71</v>
      </c>
      <c r="C217" s="6">
        <v>45761</v>
      </c>
      <c r="D217" t="s">
        <v>552</v>
      </c>
      <c r="E217" t="s">
        <v>194</v>
      </c>
      <c r="F217" s="7"/>
      <c r="G217" s="7">
        <v>403200</v>
      </c>
      <c r="H217" s="7">
        <v>403200</v>
      </c>
    </row>
    <row r="218" spans="1:8" x14ac:dyDescent="0.25">
      <c r="A218" t="s">
        <v>70</v>
      </c>
      <c r="B218" t="s">
        <v>71</v>
      </c>
      <c r="C218" s="6">
        <v>45797</v>
      </c>
      <c r="D218" t="s">
        <v>565</v>
      </c>
      <c r="E218" t="s">
        <v>254</v>
      </c>
      <c r="F218" s="7">
        <v>200000</v>
      </c>
      <c r="G218" s="7"/>
      <c r="H218" s="7">
        <v>203200</v>
      </c>
    </row>
    <row r="219" spans="1:8" x14ac:dyDescent="0.25">
      <c r="A219" t="s">
        <v>70</v>
      </c>
      <c r="B219" t="s">
        <v>71</v>
      </c>
      <c r="C219" s="6">
        <v>45818</v>
      </c>
      <c r="D219" t="s">
        <v>572</v>
      </c>
      <c r="E219" t="s">
        <v>277</v>
      </c>
      <c r="F219" s="7"/>
      <c r="G219" s="7">
        <v>171100</v>
      </c>
      <c r="H219" s="7">
        <v>374300</v>
      </c>
    </row>
    <row r="220" spans="1:8" x14ac:dyDescent="0.25">
      <c r="A220" t="s">
        <v>70</v>
      </c>
      <c r="B220" t="s">
        <v>71</v>
      </c>
      <c r="C220" s="6">
        <v>45863</v>
      </c>
      <c r="D220" t="s">
        <v>585</v>
      </c>
      <c r="E220" t="s">
        <v>324</v>
      </c>
      <c r="F220" s="7">
        <v>171100</v>
      </c>
      <c r="G220" s="7"/>
      <c r="H220" s="7">
        <v>203200</v>
      </c>
    </row>
    <row r="221" spans="1:8" x14ac:dyDescent="0.25">
      <c r="A221" t="s">
        <v>70</v>
      </c>
      <c r="B221" t="s">
        <v>71</v>
      </c>
      <c r="C221" s="6">
        <v>45874</v>
      </c>
      <c r="D221" t="s">
        <v>589</v>
      </c>
      <c r="E221" t="s">
        <v>336</v>
      </c>
      <c r="F221" s="7">
        <v>203200</v>
      </c>
      <c r="G221" s="7"/>
      <c r="H221" s="7">
        <v>0</v>
      </c>
    </row>
    <row r="222" spans="1:8" x14ac:dyDescent="0.25">
      <c r="A222" t="s">
        <v>70</v>
      </c>
      <c r="B222" t="s">
        <v>71</v>
      </c>
      <c r="C222" s="6">
        <v>45935</v>
      </c>
      <c r="D222" t="s">
        <v>604</v>
      </c>
      <c r="E222" t="s">
        <v>386</v>
      </c>
      <c r="F222" s="7"/>
      <c r="G222" s="7">
        <v>269040</v>
      </c>
      <c r="H222" s="7">
        <v>269040</v>
      </c>
    </row>
    <row r="223" spans="1:8" x14ac:dyDescent="0.25">
      <c r="A223" t="s">
        <v>70</v>
      </c>
      <c r="B223" t="s">
        <v>71</v>
      </c>
      <c r="C223" s="6">
        <v>45976</v>
      </c>
      <c r="D223" t="s">
        <v>614</v>
      </c>
      <c r="E223" t="s">
        <v>417</v>
      </c>
      <c r="F223" s="7">
        <v>269040</v>
      </c>
      <c r="G223" s="7"/>
      <c r="H223" s="7">
        <v>0</v>
      </c>
    </row>
    <row r="224" spans="1:8" x14ac:dyDescent="0.25">
      <c r="A224" t="s">
        <v>70</v>
      </c>
      <c r="B224" t="s">
        <v>71</v>
      </c>
      <c r="C224" s="6">
        <v>46047</v>
      </c>
      <c r="D224" t="s">
        <v>632</v>
      </c>
      <c r="E224" t="s">
        <v>475</v>
      </c>
      <c r="F224" s="7"/>
      <c r="G224" s="7">
        <v>315840</v>
      </c>
      <c r="H224" s="7">
        <v>315840</v>
      </c>
    </row>
    <row r="225" spans="1:8" x14ac:dyDescent="0.25">
      <c r="A225" t="s">
        <v>70</v>
      </c>
      <c r="B225" t="s">
        <v>71</v>
      </c>
      <c r="C225" s="6">
        <v>46089</v>
      </c>
      <c r="D225" t="s">
        <v>644</v>
      </c>
      <c r="E225" t="s">
        <v>510</v>
      </c>
      <c r="F225" s="7">
        <v>315840</v>
      </c>
      <c r="G225" s="7"/>
      <c r="H225" s="7">
        <v>0</v>
      </c>
    </row>
    <row r="226" spans="1:8" x14ac:dyDescent="0.25">
      <c r="A226" t="s">
        <v>70</v>
      </c>
      <c r="B226" t="s">
        <v>71</v>
      </c>
      <c r="C226" s="6">
        <v>46093</v>
      </c>
      <c r="D226" t="s">
        <v>646</v>
      </c>
      <c r="E226" t="s">
        <v>516</v>
      </c>
      <c r="F226" s="7"/>
      <c r="G226" s="7">
        <v>139240</v>
      </c>
      <c r="H226" s="7">
        <v>139240</v>
      </c>
    </row>
    <row r="227" spans="1:8" s="15" customFormat="1" x14ac:dyDescent="0.25">
      <c r="A227" s="15" t="s">
        <v>34</v>
      </c>
      <c r="B227" s="15" t="s">
        <v>674</v>
      </c>
      <c r="C227" s="16"/>
      <c r="D227" s="15" t="s">
        <v>34</v>
      </c>
      <c r="E227" s="15" t="s">
        <v>34</v>
      </c>
      <c r="F227" s="17">
        <v>1159180</v>
      </c>
      <c r="G227" s="17">
        <v>1298420</v>
      </c>
      <c r="H227" s="17">
        <v>139240</v>
      </c>
    </row>
    <row r="229" spans="1:8" s="3" customFormat="1" x14ac:dyDescent="0.25">
      <c r="A229" s="3" t="s">
        <v>74</v>
      </c>
      <c r="B229" s="3" t="s">
        <v>75</v>
      </c>
      <c r="C229" s="13"/>
      <c r="D229" s="3" t="s">
        <v>34</v>
      </c>
      <c r="E229" s="3" t="s">
        <v>668</v>
      </c>
      <c r="F229" s="14"/>
      <c r="G229" s="14"/>
      <c r="H229" s="14">
        <v>0</v>
      </c>
    </row>
    <row r="230" spans="1:8" x14ac:dyDescent="0.25">
      <c r="A230" t="s">
        <v>74</v>
      </c>
      <c r="B230" t="s">
        <v>75</v>
      </c>
      <c r="C230" s="6">
        <v>45777</v>
      </c>
      <c r="D230" t="s">
        <v>559</v>
      </c>
      <c r="E230" t="s">
        <v>230</v>
      </c>
      <c r="F230" s="7"/>
      <c r="G230" s="7">
        <v>37000</v>
      </c>
      <c r="H230" s="7">
        <v>37000</v>
      </c>
    </row>
    <row r="231" spans="1:8" x14ac:dyDescent="0.25">
      <c r="A231" t="s">
        <v>74</v>
      </c>
      <c r="B231" t="s">
        <v>75</v>
      </c>
      <c r="C231" s="6">
        <v>45779</v>
      </c>
      <c r="D231" t="s">
        <v>561</v>
      </c>
      <c r="E231" t="s">
        <v>238</v>
      </c>
      <c r="F231" s="7">
        <v>37000</v>
      </c>
      <c r="G231" s="7"/>
      <c r="H231" s="7">
        <v>0</v>
      </c>
    </row>
    <row r="232" spans="1:8" x14ac:dyDescent="0.25">
      <c r="A232" t="s">
        <v>74</v>
      </c>
      <c r="B232" t="s">
        <v>75</v>
      </c>
      <c r="C232" s="6">
        <v>45808</v>
      </c>
      <c r="D232" t="s">
        <v>568</v>
      </c>
      <c r="E232" t="s">
        <v>265</v>
      </c>
      <c r="F232" s="7"/>
      <c r="G232" s="7">
        <v>37000</v>
      </c>
      <c r="H232" s="7">
        <v>37000</v>
      </c>
    </row>
    <row r="233" spans="1:8" x14ac:dyDescent="0.25">
      <c r="A233" t="s">
        <v>74</v>
      </c>
      <c r="B233" t="s">
        <v>75</v>
      </c>
      <c r="C233" s="6">
        <v>45810</v>
      </c>
      <c r="D233" t="s">
        <v>570</v>
      </c>
      <c r="E233" t="s">
        <v>271</v>
      </c>
      <c r="F233" s="7">
        <v>37000</v>
      </c>
      <c r="G233" s="7"/>
      <c r="H233" s="7">
        <v>0</v>
      </c>
    </row>
    <row r="234" spans="1:8" x14ac:dyDescent="0.25">
      <c r="A234" t="s">
        <v>74</v>
      </c>
      <c r="B234" t="s">
        <v>75</v>
      </c>
      <c r="C234" s="6">
        <v>45838</v>
      </c>
      <c r="D234" t="s">
        <v>578</v>
      </c>
      <c r="E234" t="s">
        <v>298</v>
      </c>
      <c r="F234" s="7"/>
      <c r="G234" s="7">
        <v>37000</v>
      </c>
      <c r="H234" s="7">
        <v>37000</v>
      </c>
    </row>
    <row r="235" spans="1:8" x14ac:dyDescent="0.25">
      <c r="A235" t="s">
        <v>74</v>
      </c>
      <c r="B235" t="s">
        <v>75</v>
      </c>
      <c r="C235" s="6">
        <v>45840</v>
      </c>
      <c r="D235" t="s">
        <v>581</v>
      </c>
      <c r="E235" t="s">
        <v>310</v>
      </c>
      <c r="F235" s="7">
        <v>37000</v>
      </c>
      <c r="G235" s="7"/>
      <c r="H235" s="7">
        <v>0</v>
      </c>
    </row>
    <row r="236" spans="1:8" x14ac:dyDescent="0.25">
      <c r="A236" t="s">
        <v>74</v>
      </c>
      <c r="B236" t="s">
        <v>75</v>
      </c>
      <c r="C236" s="6">
        <v>45869</v>
      </c>
      <c r="D236" t="s">
        <v>587</v>
      </c>
      <c r="E236" t="s">
        <v>330</v>
      </c>
      <c r="F236" s="7"/>
      <c r="G236" s="7">
        <v>37000</v>
      </c>
      <c r="H236" s="7">
        <v>37000</v>
      </c>
    </row>
    <row r="237" spans="1:8" x14ac:dyDescent="0.25">
      <c r="A237" t="s">
        <v>74</v>
      </c>
      <c r="B237" t="s">
        <v>75</v>
      </c>
      <c r="C237" s="6">
        <v>45871</v>
      </c>
      <c r="D237" t="s">
        <v>588</v>
      </c>
      <c r="E237" t="s">
        <v>333</v>
      </c>
      <c r="F237" s="7">
        <v>37000</v>
      </c>
      <c r="G237" s="7"/>
      <c r="H237" s="7">
        <v>0</v>
      </c>
    </row>
    <row r="238" spans="1:8" x14ac:dyDescent="0.25">
      <c r="A238" t="s">
        <v>74</v>
      </c>
      <c r="B238" t="s">
        <v>75</v>
      </c>
      <c r="C238" s="6">
        <v>45900</v>
      </c>
      <c r="D238" t="s">
        <v>593</v>
      </c>
      <c r="E238" t="s">
        <v>350</v>
      </c>
      <c r="F238" s="7"/>
      <c r="G238" s="7">
        <v>37000</v>
      </c>
      <c r="H238" s="7">
        <v>37000</v>
      </c>
    </row>
    <row r="239" spans="1:8" x14ac:dyDescent="0.25">
      <c r="A239" t="s">
        <v>74</v>
      </c>
      <c r="B239" t="s">
        <v>75</v>
      </c>
      <c r="C239" s="6">
        <v>45902</v>
      </c>
      <c r="D239" t="s">
        <v>594</v>
      </c>
      <c r="E239" t="s">
        <v>353</v>
      </c>
      <c r="F239" s="7">
        <v>37000</v>
      </c>
      <c r="G239" s="7"/>
      <c r="H239" s="7">
        <v>0</v>
      </c>
    </row>
    <row r="240" spans="1:8" x14ac:dyDescent="0.25">
      <c r="A240" t="s">
        <v>74</v>
      </c>
      <c r="B240" t="s">
        <v>75</v>
      </c>
      <c r="C240" s="6">
        <v>45930</v>
      </c>
      <c r="D240" t="s">
        <v>601</v>
      </c>
      <c r="E240" t="s">
        <v>378</v>
      </c>
      <c r="F240" s="7"/>
      <c r="G240" s="7">
        <v>37000</v>
      </c>
      <c r="H240" s="7">
        <v>37000</v>
      </c>
    </row>
    <row r="241" spans="1:8" x14ac:dyDescent="0.25">
      <c r="A241" t="s">
        <v>74</v>
      </c>
      <c r="B241" t="s">
        <v>75</v>
      </c>
      <c r="C241" s="6">
        <v>45931</v>
      </c>
      <c r="D241" t="s">
        <v>603</v>
      </c>
      <c r="E241" t="s">
        <v>383</v>
      </c>
      <c r="F241" s="7">
        <v>37000</v>
      </c>
      <c r="G241" s="7"/>
      <c r="H241" s="7">
        <v>0</v>
      </c>
    </row>
    <row r="242" spans="1:8" x14ac:dyDescent="0.25">
      <c r="A242" t="s">
        <v>74</v>
      </c>
      <c r="B242" t="s">
        <v>75</v>
      </c>
      <c r="C242" s="6">
        <v>45961</v>
      </c>
      <c r="D242" t="s">
        <v>611</v>
      </c>
      <c r="E242" t="s">
        <v>408</v>
      </c>
      <c r="F242" s="7"/>
      <c r="G242" s="7">
        <v>37000</v>
      </c>
      <c r="H242" s="7">
        <v>37000</v>
      </c>
    </row>
    <row r="243" spans="1:8" x14ac:dyDescent="0.25">
      <c r="A243" t="s">
        <v>74</v>
      </c>
      <c r="B243" t="s">
        <v>75</v>
      </c>
      <c r="C243" s="6">
        <v>45963</v>
      </c>
      <c r="D243" t="s">
        <v>612</v>
      </c>
      <c r="E243" t="s">
        <v>411</v>
      </c>
      <c r="F243" s="7">
        <v>37000</v>
      </c>
      <c r="G243" s="7"/>
      <c r="H243" s="7">
        <v>0</v>
      </c>
    </row>
    <row r="244" spans="1:8" x14ac:dyDescent="0.25">
      <c r="A244" t="s">
        <v>74</v>
      </c>
      <c r="B244" t="s">
        <v>75</v>
      </c>
      <c r="C244" s="6">
        <v>45991</v>
      </c>
      <c r="D244" t="s">
        <v>617</v>
      </c>
      <c r="E244" t="s">
        <v>426</v>
      </c>
      <c r="F244" s="7"/>
      <c r="G244" s="7">
        <v>37000</v>
      </c>
      <c r="H244" s="7">
        <v>37000</v>
      </c>
    </row>
    <row r="245" spans="1:8" x14ac:dyDescent="0.25">
      <c r="A245" t="s">
        <v>74</v>
      </c>
      <c r="B245" t="s">
        <v>75</v>
      </c>
      <c r="C245" s="6">
        <v>45993</v>
      </c>
      <c r="D245" t="s">
        <v>618</v>
      </c>
      <c r="E245" t="s">
        <v>429</v>
      </c>
      <c r="F245" s="7">
        <v>37000</v>
      </c>
      <c r="G245" s="7"/>
      <c r="H245" s="7">
        <v>0</v>
      </c>
    </row>
    <row r="246" spans="1:8" x14ac:dyDescent="0.25">
      <c r="A246" t="s">
        <v>74</v>
      </c>
      <c r="B246" t="s">
        <v>75</v>
      </c>
      <c r="C246" s="6">
        <v>46022</v>
      </c>
      <c r="D246" t="s">
        <v>625</v>
      </c>
      <c r="E246" t="s">
        <v>453</v>
      </c>
      <c r="F246" s="7"/>
      <c r="G246" s="7">
        <v>37000</v>
      </c>
      <c r="H246" s="7">
        <v>37000</v>
      </c>
    </row>
    <row r="247" spans="1:8" x14ac:dyDescent="0.25">
      <c r="A247" t="s">
        <v>74</v>
      </c>
      <c r="B247" t="s">
        <v>75</v>
      </c>
      <c r="C247" s="6">
        <v>46024</v>
      </c>
      <c r="D247" t="s">
        <v>626</v>
      </c>
      <c r="E247" t="s">
        <v>456</v>
      </c>
      <c r="F247" s="7">
        <v>37000</v>
      </c>
      <c r="G247" s="7"/>
      <c r="H247" s="7">
        <v>0</v>
      </c>
    </row>
    <row r="248" spans="1:8" x14ac:dyDescent="0.25">
      <c r="A248" t="s">
        <v>74</v>
      </c>
      <c r="B248" t="s">
        <v>75</v>
      </c>
      <c r="C248" s="6">
        <v>46053</v>
      </c>
      <c r="D248" t="s">
        <v>633</v>
      </c>
      <c r="E248" t="s">
        <v>478</v>
      </c>
      <c r="F248" s="7"/>
      <c r="G248" s="7">
        <v>37000</v>
      </c>
      <c r="H248" s="7">
        <v>37000</v>
      </c>
    </row>
    <row r="249" spans="1:8" x14ac:dyDescent="0.25">
      <c r="A249" t="s">
        <v>74</v>
      </c>
      <c r="B249" t="s">
        <v>75</v>
      </c>
      <c r="C249" s="6">
        <v>46055</v>
      </c>
      <c r="D249" t="s">
        <v>634</v>
      </c>
      <c r="E249" t="s">
        <v>481</v>
      </c>
      <c r="F249" s="7">
        <v>37000</v>
      </c>
      <c r="G249" s="7"/>
      <c r="H249" s="7">
        <v>0</v>
      </c>
    </row>
    <row r="250" spans="1:8" x14ac:dyDescent="0.25">
      <c r="A250" t="s">
        <v>74</v>
      </c>
      <c r="B250" t="s">
        <v>75</v>
      </c>
      <c r="C250" s="6">
        <v>46081</v>
      </c>
      <c r="D250" t="s">
        <v>641</v>
      </c>
      <c r="E250" t="s">
        <v>502</v>
      </c>
      <c r="F250" s="7"/>
      <c r="G250" s="7">
        <v>37000</v>
      </c>
      <c r="H250" s="7">
        <v>37000</v>
      </c>
    </row>
    <row r="251" spans="1:8" x14ac:dyDescent="0.25">
      <c r="A251" t="s">
        <v>74</v>
      </c>
      <c r="B251" t="s">
        <v>75</v>
      </c>
      <c r="C251" s="6">
        <v>46083</v>
      </c>
      <c r="D251" t="s">
        <v>642</v>
      </c>
      <c r="E251" t="s">
        <v>505</v>
      </c>
      <c r="F251" s="7">
        <v>37000</v>
      </c>
      <c r="G251" s="7"/>
      <c r="H251" s="7">
        <v>0</v>
      </c>
    </row>
    <row r="252" spans="1:8" x14ac:dyDescent="0.25">
      <c r="A252" t="s">
        <v>74</v>
      </c>
      <c r="B252" t="s">
        <v>75</v>
      </c>
      <c r="C252" s="6">
        <v>46112</v>
      </c>
      <c r="D252" t="s">
        <v>652</v>
      </c>
      <c r="E252" t="s">
        <v>535</v>
      </c>
      <c r="F252" s="7"/>
      <c r="G252" s="7">
        <v>37000</v>
      </c>
      <c r="H252" s="7">
        <v>37000</v>
      </c>
    </row>
    <row r="253" spans="1:8" s="15" customFormat="1" x14ac:dyDescent="0.25">
      <c r="A253" s="15" t="s">
        <v>34</v>
      </c>
      <c r="B253" s="15" t="s">
        <v>675</v>
      </c>
      <c r="C253" s="16"/>
      <c r="D253" s="15" t="s">
        <v>34</v>
      </c>
      <c r="E253" s="15" t="s">
        <v>34</v>
      </c>
      <c r="F253" s="17">
        <v>407000</v>
      </c>
      <c r="G253" s="17">
        <v>444000</v>
      </c>
      <c r="H253" s="17">
        <v>37000</v>
      </c>
    </row>
    <row r="255" spans="1:8" s="3" customFormat="1" x14ac:dyDescent="0.25">
      <c r="A255" s="3" t="s">
        <v>76</v>
      </c>
      <c r="B255" s="3" t="s">
        <v>77</v>
      </c>
      <c r="C255" s="13"/>
      <c r="D255" s="3" t="s">
        <v>34</v>
      </c>
      <c r="E255" s="3" t="s">
        <v>668</v>
      </c>
      <c r="F255" s="14"/>
      <c r="G255" s="14"/>
      <c r="H255" s="14">
        <v>0</v>
      </c>
    </row>
    <row r="256" spans="1:8" x14ac:dyDescent="0.25">
      <c r="A256" t="s">
        <v>76</v>
      </c>
      <c r="B256" t="s">
        <v>77</v>
      </c>
      <c r="C256" s="6">
        <v>45752</v>
      </c>
      <c r="D256" t="s">
        <v>548</v>
      </c>
      <c r="E256" t="s">
        <v>171</v>
      </c>
      <c r="F256" s="7"/>
      <c r="G256" s="7">
        <v>800000</v>
      </c>
      <c r="H256" s="7">
        <v>800000</v>
      </c>
    </row>
    <row r="257" spans="1:8" x14ac:dyDescent="0.25">
      <c r="A257" t="s">
        <v>76</v>
      </c>
      <c r="B257" t="s">
        <v>77</v>
      </c>
      <c r="C257" s="6">
        <v>45915</v>
      </c>
      <c r="D257" t="s">
        <v>597</v>
      </c>
      <c r="E257" t="s">
        <v>363</v>
      </c>
      <c r="F257" s="7">
        <v>100000</v>
      </c>
      <c r="G257" s="7"/>
      <c r="H257" s="7">
        <v>700000</v>
      </c>
    </row>
    <row r="258" spans="1:8" x14ac:dyDescent="0.25">
      <c r="A258" t="s">
        <v>76</v>
      </c>
      <c r="B258" t="s">
        <v>77</v>
      </c>
      <c r="C258" s="6">
        <v>46006</v>
      </c>
      <c r="D258" t="s">
        <v>621</v>
      </c>
      <c r="E258" t="s">
        <v>439</v>
      </c>
      <c r="F258" s="7">
        <v>100000</v>
      </c>
      <c r="G258" s="7"/>
      <c r="H258" s="7">
        <v>600000</v>
      </c>
    </row>
    <row r="259" spans="1:8" x14ac:dyDescent="0.25">
      <c r="A259" t="s">
        <v>76</v>
      </c>
      <c r="B259" t="s">
        <v>77</v>
      </c>
      <c r="C259" s="6">
        <v>46096</v>
      </c>
      <c r="D259" t="s">
        <v>647</v>
      </c>
      <c r="E259" t="s">
        <v>439</v>
      </c>
      <c r="F259" s="7">
        <v>100000</v>
      </c>
      <c r="G259" s="7"/>
      <c r="H259" s="7">
        <v>500000</v>
      </c>
    </row>
    <row r="260" spans="1:8" s="15" customFormat="1" x14ac:dyDescent="0.25">
      <c r="A260" s="15" t="s">
        <v>34</v>
      </c>
      <c r="B260" s="15" t="s">
        <v>676</v>
      </c>
      <c r="C260" s="16"/>
      <c r="D260" s="15" t="s">
        <v>34</v>
      </c>
      <c r="E260" s="15" t="s">
        <v>34</v>
      </c>
      <c r="F260" s="17">
        <v>300000</v>
      </c>
      <c r="G260" s="17">
        <v>800000</v>
      </c>
      <c r="H260" s="17">
        <v>500000</v>
      </c>
    </row>
    <row r="262" spans="1:8" s="3" customFormat="1" x14ac:dyDescent="0.25">
      <c r="A262" s="3" t="s">
        <v>78</v>
      </c>
      <c r="B262" s="3" t="s">
        <v>79</v>
      </c>
      <c r="C262" s="13"/>
      <c r="D262" s="3" t="s">
        <v>34</v>
      </c>
      <c r="E262" s="3" t="s">
        <v>668</v>
      </c>
      <c r="F262" s="14"/>
      <c r="G262" s="14"/>
      <c r="H262" s="14">
        <v>0</v>
      </c>
    </row>
    <row r="263" spans="1:8" x14ac:dyDescent="0.25">
      <c r="A263" t="s">
        <v>78</v>
      </c>
      <c r="B263" t="s">
        <v>79</v>
      </c>
      <c r="C263" s="6">
        <v>45767</v>
      </c>
      <c r="D263" t="s">
        <v>554</v>
      </c>
      <c r="E263" t="s">
        <v>206</v>
      </c>
      <c r="F263" s="7"/>
      <c r="G263" s="7">
        <v>8820</v>
      </c>
      <c r="H263" s="7">
        <v>8820</v>
      </c>
    </row>
    <row r="264" spans="1:8" x14ac:dyDescent="0.25">
      <c r="A264" t="s">
        <v>78</v>
      </c>
      <c r="B264" t="s">
        <v>79</v>
      </c>
      <c r="C264" s="6">
        <v>45769</v>
      </c>
      <c r="D264" t="s">
        <v>555</v>
      </c>
      <c r="E264" t="s">
        <v>211</v>
      </c>
      <c r="F264" s="7"/>
      <c r="G264" s="7">
        <v>11880</v>
      </c>
      <c r="H264" s="7">
        <v>20700</v>
      </c>
    </row>
    <row r="265" spans="1:8" x14ac:dyDescent="0.25">
      <c r="A265" t="s">
        <v>78</v>
      </c>
      <c r="B265" t="s">
        <v>79</v>
      </c>
      <c r="C265" s="6">
        <v>45772</v>
      </c>
      <c r="D265" t="s">
        <v>556</v>
      </c>
      <c r="E265" t="s">
        <v>215</v>
      </c>
      <c r="F265" s="7"/>
      <c r="G265" s="7">
        <v>9000</v>
      </c>
      <c r="H265" s="7">
        <v>29700</v>
      </c>
    </row>
    <row r="266" spans="1:8" x14ac:dyDescent="0.25">
      <c r="A266" t="s">
        <v>78</v>
      </c>
      <c r="B266" t="s">
        <v>79</v>
      </c>
      <c r="C266" s="6">
        <v>45787</v>
      </c>
      <c r="D266" t="s">
        <v>563</v>
      </c>
      <c r="E266" t="s">
        <v>245</v>
      </c>
      <c r="F266" s="7"/>
      <c r="G266" s="7">
        <v>7200</v>
      </c>
      <c r="H266" s="7">
        <v>36900</v>
      </c>
    </row>
    <row r="267" spans="1:8" x14ac:dyDescent="0.25">
      <c r="A267" t="s">
        <v>78</v>
      </c>
      <c r="B267" t="s">
        <v>79</v>
      </c>
      <c r="C267" s="6">
        <v>45799</v>
      </c>
      <c r="D267" t="s">
        <v>566</v>
      </c>
      <c r="E267" t="s">
        <v>258</v>
      </c>
      <c r="F267" s="7"/>
      <c r="G267" s="7">
        <v>13230</v>
      </c>
      <c r="H267" s="7">
        <v>50130</v>
      </c>
    </row>
    <row r="268" spans="1:8" x14ac:dyDescent="0.25">
      <c r="A268" t="s">
        <v>78</v>
      </c>
      <c r="B268" t="s">
        <v>79</v>
      </c>
      <c r="C268" s="6">
        <v>45802</v>
      </c>
      <c r="D268" t="s">
        <v>567</v>
      </c>
      <c r="E268" t="s">
        <v>262</v>
      </c>
      <c r="F268" s="7"/>
      <c r="G268" s="7">
        <v>15840</v>
      </c>
      <c r="H268" s="7">
        <v>65970</v>
      </c>
    </row>
    <row r="269" spans="1:8" x14ac:dyDescent="0.25">
      <c r="A269" t="s">
        <v>78</v>
      </c>
      <c r="B269" t="s">
        <v>79</v>
      </c>
      <c r="C269" s="6">
        <v>45837</v>
      </c>
      <c r="D269" t="s">
        <v>576</v>
      </c>
      <c r="E269" t="s">
        <v>292</v>
      </c>
      <c r="F269" s="7"/>
      <c r="G269" s="7">
        <v>6750</v>
      </c>
      <c r="H269" s="7">
        <v>72720</v>
      </c>
    </row>
    <row r="270" spans="1:8" x14ac:dyDescent="0.25">
      <c r="A270" t="s">
        <v>78</v>
      </c>
      <c r="B270" t="s">
        <v>79</v>
      </c>
      <c r="C270" s="6">
        <v>45848</v>
      </c>
      <c r="D270" t="s">
        <v>582</v>
      </c>
      <c r="E270" t="s">
        <v>313</v>
      </c>
      <c r="F270" s="7"/>
      <c r="G270" s="7">
        <v>22500</v>
      </c>
      <c r="H270" s="7">
        <v>95220</v>
      </c>
    </row>
    <row r="271" spans="1:8" x14ac:dyDescent="0.25">
      <c r="A271" t="s">
        <v>78</v>
      </c>
      <c r="B271" t="s">
        <v>79</v>
      </c>
      <c r="C271" s="6">
        <v>45858</v>
      </c>
      <c r="D271" t="s">
        <v>584</v>
      </c>
      <c r="E271" t="s">
        <v>320</v>
      </c>
      <c r="F271" s="7">
        <v>95220</v>
      </c>
      <c r="G271" s="7"/>
      <c r="H271" s="7">
        <v>0</v>
      </c>
    </row>
    <row r="272" spans="1:8" x14ac:dyDescent="0.25">
      <c r="A272" t="s">
        <v>78</v>
      </c>
      <c r="B272" t="s">
        <v>79</v>
      </c>
      <c r="C272" s="6">
        <v>45869</v>
      </c>
      <c r="D272" t="s">
        <v>586</v>
      </c>
      <c r="E272" t="s">
        <v>327</v>
      </c>
      <c r="F272" s="7"/>
      <c r="G272" s="7">
        <v>17640</v>
      </c>
      <c r="H272" s="7">
        <v>17640</v>
      </c>
    </row>
    <row r="273" spans="1:8" x14ac:dyDescent="0.25">
      <c r="A273" t="s">
        <v>78</v>
      </c>
      <c r="B273" t="s">
        <v>79</v>
      </c>
      <c r="C273" s="6">
        <v>45881</v>
      </c>
      <c r="D273" t="s">
        <v>590</v>
      </c>
      <c r="E273" t="s">
        <v>339</v>
      </c>
      <c r="F273" s="7"/>
      <c r="G273" s="7">
        <v>19800</v>
      </c>
      <c r="H273" s="7">
        <v>37440</v>
      </c>
    </row>
    <row r="274" spans="1:8" x14ac:dyDescent="0.25">
      <c r="A274" t="s">
        <v>78</v>
      </c>
      <c r="B274" t="s">
        <v>79</v>
      </c>
      <c r="C274" s="6">
        <v>45948</v>
      </c>
      <c r="D274" t="s">
        <v>607</v>
      </c>
      <c r="E274" t="s">
        <v>395</v>
      </c>
      <c r="F274" s="7"/>
      <c r="G274" s="7">
        <v>108000</v>
      </c>
      <c r="H274" s="7">
        <v>145440</v>
      </c>
    </row>
    <row r="275" spans="1:8" x14ac:dyDescent="0.25">
      <c r="A275" t="s">
        <v>78</v>
      </c>
      <c r="B275" t="s">
        <v>79</v>
      </c>
      <c r="C275" s="6">
        <v>45950</v>
      </c>
      <c r="D275" t="s">
        <v>608</v>
      </c>
      <c r="E275" t="s">
        <v>398</v>
      </c>
      <c r="F275" s="7"/>
      <c r="G275" s="7">
        <v>40800</v>
      </c>
      <c r="H275" s="7">
        <v>186240</v>
      </c>
    </row>
    <row r="276" spans="1:8" x14ac:dyDescent="0.25">
      <c r="A276" t="s">
        <v>78</v>
      </c>
      <c r="B276" t="s">
        <v>79</v>
      </c>
      <c r="C276" s="6">
        <v>45952</v>
      </c>
      <c r="D276" t="s">
        <v>609</v>
      </c>
      <c r="E276" t="s">
        <v>402</v>
      </c>
      <c r="F276" s="7"/>
      <c r="G276" s="7">
        <v>105300</v>
      </c>
      <c r="H276" s="7">
        <v>291540</v>
      </c>
    </row>
    <row r="277" spans="1:8" x14ac:dyDescent="0.25">
      <c r="A277" t="s">
        <v>78</v>
      </c>
      <c r="B277" t="s">
        <v>79</v>
      </c>
      <c r="C277" s="6">
        <v>45955</v>
      </c>
      <c r="D277" t="s">
        <v>610</v>
      </c>
      <c r="E277" t="s">
        <v>405</v>
      </c>
      <c r="F277" s="7"/>
      <c r="G277" s="7">
        <v>4500</v>
      </c>
      <c r="H277" s="7">
        <v>296040</v>
      </c>
    </row>
    <row r="278" spans="1:8" x14ac:dyDescent="0.25">
      <c r="A278" t="s">
        <v>78</v>
      </c>
      <c r="B278" t="s">
        <v>79</v>
      </c>
      <c r="C278" s="6">
        <v>45981</v>
      </c>
      <c r="D278" t="s">
        <v>615</v>
      </c>
      <c r="E278" t="s">
        <v>420</v>
      </c>
      <c r="F278" s="7">
        <v>296040</v>
      </c>
      <c r="G278" s="7"/>
      <c r="H278" s="7">
        <v>0</v>
      </c>
    </row>
    <row r="279" spans="1:8" x14ac:dyDescent="0.25">
      <c r="A279" t="s">
        <v>78</v>
      </c>
      <c r="B279" t="s">
        <v>79</v>
      </c>
      <c r="C279" s="6">
        <v>45986</v>
      </c>
      <c r="D279" t="s">
        <v>616</v>
      </c>
      <c r="E279" t="s">
        <v>423</v>
      </c>
      <c r="F279" s="7"/>
      <c r="G279" s="7">
        <v>26730</v>
      </c>
      <c r="H279" s="7">
        <v>26730</v>
      </c>
    </row>
    <row r="280" spans="1:8" x14ac:dyDescent="0.25">
      <c r="A280" t="s">
        <v>78</v>
      </c>
      <c r="B280" t="s">
        <v>79</v>
      </c>
      <c r="C280" s="6">
        <v>46001</v>
      </c>
      <c r="D280" t="s">
        <v>620</v>
      </c>
      <c r="E280" t="s">
        <v>436</v>
      </c>
      <c r="F280" s="7"/>
      <c r="G280" s="7">
        <v>39600</v>
      </c>
      <c r="H280" s="7">
        <v>66330</v>
      </c>
    </row>
    <row r="281" spans="1:8" x14ac:dyDescent="0.25">
      <c r="A281" t="s">
        <v>78</v>
      </c>
      <c r="B281" t="s">
        <v>79</v>
      </c>
      <c r="C281" s="6">
        <v>46037</v>
      </c>
      <c r="D281" t="s">
        <v>628</v>
      </c>
      <c r="E281" t="s">
        <v>462</v>
      </c>
      <c r="F281" s="7"/>
      <c r="G281" s="7">
        <v>22500</v>
      </c>
      <c r="H281" s="7">
        <v>88830</v>
      </c>
    </row>
    <row r="282" spans="1:8" x14ac:dyDescent="0.25">
      <c r="A282" t="s">
        <v>78</v>
      </c>
      <c r="B282" t="s">
        <v>79</v>
      </c>
      <c r="C282" s="6">
        <v>46044</v>
      </c>
      <c r="D282" t="s">
        <v>631</v>
      </c>
      <c r="E282" t="s">
        <v>472</v>
      </c>
      <c r="F282" s="7">
        <v>88830</v>
      </c>
      <c r="G282" s="7"/>
      <c r="H282" s="7">
        <v>0</v>
      </c>
    </row>
    <row r="283" spans="1:8" x14ac:dyDescent="0.25">
      <c r="A283" t="s">
        <v>78</v>
      </c>
      <c r="B283" t="s">
        <v>79</v>
      </c>
      <c r="C283" s="6">
        <v>46065</v>
      </c>
      <c r="D283" t="s">
        <v>636</v>
      </c>
      <c r="E283" t="s">
        <v>487</v>
      </c>
      <c r="F283" s="7"/>
      <c r="G283" s="7">
        <v>39600</v>
      </c>
      <c r="H283" s="7">
        <v>39600</v>
      </c>
    </row>
    <row r="284" spans="1:8" x14ac:dyDescent="0.25">
      <c r="A284" t="s">
        <v>78</v>
      </c>
      <c r="B284" t="s">
        <v>79</v>
      </c>
      <c r="C284" s="6">
        <v>46068</v>
      </c>
      <c r="D284" t="s">
        <v>637</v>
      </c>
      <c r="E284" t="s">
        <v>490</v>
      </c>
      <c r="F284" s="7"/>
      <c r="G284" s="7">
        <v>3240</v>
      </c>
      <c r="H284" s="7">
        <v>42840</v>
      </c>
    </row>
    <row r="285" spans="1:8" x14ac:dyDescent="0.25">
      <c r="A285" t="s">
        <v>78</v>
      </c>
      <c r="B285" t="s">
        <v>79</v>
      </c>
      <c r="C285" s="6">
        <v>46071</v>
      </c>
      <c r="D285" t="s">
        <v>638</v>
      </c>
      <c r="E285" t="s">
        <v>493</v>
      </c>
      <c r="F285" s="7"/>
      <c r="G285" s="7">
        <v>27000</v>
      </c>
      <c r="H285" s="7">
        <v>69840</v>
      </c>
    </row>
    <row r="286" spans="1:8" x14ac:dyDescent="0.25">
      <c r="A286" t="s">
        <v>78</v>
      </c>
      <c r="B286" t="s">
        <v>79</v>
      </c>
      <c r="C286" s="6">
        <v>46073</v>
      </c>
      <c r="D286" t="s">
        <v>640</v>
      </c>
      <c r="E286" t="s">
        <v>499</v>
      </c>
      <c r="F286" s="7">
        <v>69840</v>
      </c>
      <c r="G286" s="7"/>
      <c r="H286" s="7">
        <v>0</v>
      </c>
    </row>
    <row r="287" spans="1:8" x14ac:dyDescent="0.25">
      <c r="A287" t="s">
        <v>78</v>
      </c>
      <c r="B287" t="s">
        <v>79</v>
      </c>
      <c r="C287" s="6">
        <v>46086</v>
      </c>
      <c r="D287" t="s">
        <v>643</v>
      </c>
      <c r="E287" t="s">
        <v>211</v>
      </c>
      <c r="F287" s="7"/>
      <c r="G287" s="7">
        <v>29700</v>
      </c>
      <c r="H287" s="7">
        <v>29700</v>
      </c>
    </row>
    <row r="288" spans="1:8" s="15" customFormat="1" x14ac:dyDescent="0.25">
      <c r="A288" s="15" t="s">
        <v>34</v>
      </c>
      <c r="B288" s="15" t="s">
        <v>677</v>
      </c>
      <c r="C288" s="16"/>
      <c r="D288" s="15" t="s">
        <v>34</v>
      </c>
      <c r="E288" s="15" t="s">
        <v>34</v>
      </c>
      <c r="F288" s="17">
        <v>549930</v>
      </c>
      <c r="G288" s="17">
        <v>579630</v>
      </c>
      <c r="H288" s="17">
        <v>29700</v>
      </c>
    </row>
    <row r="290" spans="1:8" s="3" customFormat="1" x14ac:dyDescent="0.25">
      <c r="A290" s="3" t="s">
        <v>80</v>
      </c>
      <c r="B290" s="3" t="s">
        <v>81</v>
      </c>
      <c r="C290" s="13"/>
      <c r="D290" s="3" t="s">
        <v>34</v>
      </c>
      <c r="E290" s="3" t="s">
        <v>668</v>
      </c>
      <c r="F290" s="14"/>
      <c r="G290" s="14"/>
      <c r="H290" s="14">
        <v>0</v>
      </c>
    </row>
    <row r="291" spans="1:8" x14ac:dyDescent="0.25">
      <c r="A291" t="s">
        <v>80</v>
      </c>
      <c r="B291" t="s">
        <v>81</v>
      </c>
      <c r="C291" s="6">
        <v>45777</v>
      </c>
      <c r="D291" t="s">
        <v>559</v>
      </c>
      <c r="E291" t="s">
        <v>230</v>
      </c>
      <c r="F291" s="7"/>
      <c r="G291" s="7">
        <v>3000</v>
      </c>
      <c r="H291" s="7">
        <v>3000</v>
      </c>
    </row>
    <row r="292" spans="1:8" x14ac:dyDescent="0.25">
      <c r="A292" t="s">
        <v>80</v>
      </c>
      <c r="B292" t="s">
        <v>81</v>
      </c>
      <c r="C292" s="6">
        <v>45784</v>
      </c>
      <c r="D292" t="s">
        <v>562</v>
      </c>
      <c r="E292" t="s">
        <v>241</v>
      </c>
      <c r="F292" s="7">
        <v>3000</v>
      </c>
      <c r="G292" s="7"/>
      <c r="H292" s="7">
        <v>0</v>
      </c>
    </row>
    <row r="293" spans="1:8" x14ac:dyDescent="0.25">
      <c r="A293" t="s">
        <v>80</v>
      </c>
      <c r="B293" t="s">
        <v>81</v>
      </c>
      <c r="C293" s="6">
        <v>45808</v>
      </c>
      <c r="D293" t="s">
        <v>568</v>
      </c>
      <c r="E293" t="s">
        <v>265</v>
      </c>
      <c r="F293" s="7"/>
      <c r="G293" s="7">
        <v>3000</v>
      </c>
      <c r="H293" s="7">
        <v>3000</v>
      </c>
    </row>
    <row r="294" spans="1:8" x14ac:dyDescent="0.25">
      <c r="A294" t="s">
        <v>80</v>
      </c>
      <c r="B294" t="s">
        <v>81</v>
      </c>
      <c r="C294" s="6">
        <v>45815</v>
      </c>
      <c r="D294" t="s">
        <v>571</v>
      </c>
      <c r="E294" t="s">
        <v>274</v>
      </c>
      <c r="F294" s="7">
        <v>3000</v>
      </c>
      <c r="G294" s="7"/>
      <c r="H294" s="7">
        <v>0</v>
      </c>
    </row>
    <row r="295" spans="1:8" x14ac:dyDescent="0.25">
      <c r="A295" t="s">
        <v>80</v>
      </c>
      <c r="B295" t="s">
        <v>81</v>
      </c>
      <c r="C295" s="6">
        <v>45838</v>
      </c>
      <c r="D295" t="s">
        <v>578</v>
      </c>
      <c r="E295" t="s">
        <v>298</v>
      </c>
      <c r="F295" s="7"/>
      <c r="G295" s="7">
        <v>3000</v>
      </c>
      <c r="H295" s="7">
        <v>3000</v>
      </c>
    </row>
    <row r="296" spans="1:8" x14ac:dyDescent="0.25">
      <c r="A296" t="s">
        <v>80</v>
      </c>
      <c r="B296" t="s">
        <v>81</v>
      </c>
      <c r="C296" s="6">
        <v>45869</v>
      </c>
      <c r="D296" t="s">
        <v>587</v>
      </c>
      <c r="E296" t="s">
        <v>330</v>
      </c>
      <c r="F296" s="7"/>
      <c r="G296" s="7">
        <v>3000</v>
      </c>
      <c r="H296" s="7">
        <v>6000</v>
      </c>
    </row>
    <row r="297" spans="1:8" x14ac:dyDescent="0.25">
      <c r="A297" t="s">
        <v>80</v>
      </c>
      <c r="B297" t="s">
        <v>81</v>
      </c>
      <c r="C297" s="6">
        <v>45900</v>
      </c>
      <c r="D297" t="s">
        <v>593</v>
      </c>
      <c r="E297" t="s">
        <v>350</v>
      </c>
      <c r="F297" s="7"/>
      <c r="G297" s="7">
        <v>3000</v>
      </c>
      <c r="H297" s="7">
        <v>9000</v>
      </c>
    </row>
    <row r="298" spans="1:8" x14ac:dyDescent="0.25">
      <c r="A298" t="s">
        <v>80</v>
      </c>
      <c r="B298" t="s">
        <v>81</v>
      </c>
      <c r="C298" s="6">
        <v>45930</v>
      </c>
      <c r="D298" t="s">
        <v>601</v>
      </c>
      <c r="E298" t="s">
        <v>378</v>
      </c>
      <c r="F298" s="7"/>
      <c r="G298" s="7">
        <v>3000</v>
      </c>
      <c r="H298" s="7">
        <v>12000</v>
      </c>
    </row>
    <row r="299" spans="1:8" x14ac:dyDescent="0.25">
      <c r="A299" t="s">
        <v>80</v>
      </c>
      <c r="B299" t="s">
        <v>81</v>
      </c>
      <c r="C299" s="6">
        <v>45961</v>
      </c>
      <c r="D299" t="s">
        <v>611</v>
      </c>
      <c r="E299" t="s">
        <v>408</v>
      </c>
      <c r="F299" s="7"/>
      <c r="G299" s="7">
        <v>3000</v>
      </c>
      <c r="H299" s="7">
        <v>15000</v>
      </c>
    </row>
    <row r="300" spans="1:8" x14ac:dyDescent="0.25">
      <c r="A300" t="s">
        <v>80</v>
      </c>
      <c r="B300" t="s">
        <v>81</v>
      </c>
      <c r="C300" s="6">
        <v>45991</v>
      </c>
      <c r="D300" t="s">
        <v>617</v>
      </c>
      <c r="E300" t="s">
        <v>426</v>
      </c>
      <c r="F300" s="7"/>
      <c r="G300" s="7">
        <v>3000</v>
      </c>
      <c r="H300" s="7">
        <v>18000</v>
      </c>
    </row>
    <row r="301" spans="1:8" x14ac:dyDescent="0.25">
      <c r="A301" t="s">
        <v>80</v>
      </c>
      <c r="B301" t="s">
        <v>81</v>
      </c>
      <c r="C301" s="6">
        <v>46022</v>
      </c>
      <c r="D301" t="s">
        <v>625</v>
      </c>
      <c r="E301" t="s">
        <v>453</v>
      </c>
      <c r="F301" s="7"/>
      <c r="G301" s="7">
        <v>3000</v>
      </c>
      <c r="H301" s="7">
        <v>21000</v>
      </c>
    </row>
    <row r="302" spans="1:8" x14ac:dyDescent="0.25">
      <c r="A302" t="s">
        <v>80</v>
      </c>
      <c r="B302" t="s">
        <v>81</v>
      </c>
      <c r="C302" s="6">
        <v>46053</v>
      </c>
      <c r="D302" t="s">
        <v>633</v>
      </c>
      <c r="E302" t="s">
        <v>478</v>
      </c>
      <c r="F302" s="7"/>
      <c r="G302" s="7">
        <v>3000</v>
      </c>
      <c r="H302" s="7">
        <v>24000</v>
      </c>
    </row>
    <row r="303" spans="1:8" x14ac:dyDescent="0.25">
      <c r="A303" t="s">
        <v>80</v>
      </c>
      <c r="B303" t="s">
        <v>81</v>
      </c>
      <c r="C303" s="6">
        <v>46073</v>
      </c>
      <c r="D303" t="s">
        <v>639</v>
      </c>
      <c r="E303" t="s">
        <v>496</v>
      </c>
      <c r="F303" s="7">
        <v>18000</v>
      </c>
      <c r="G303" s="7"/>
      <c r="H303" s="7">
        <v>6000</v>
      </c>
    </row>
    <row r="304" spans="1:8" x14ac:dyDescent="0.25">
      <c r="A304" t="s">
        <v>80</v>
      </c>
      <c r="B304" t="s">
        <v>81</v>
      </c>
      <c r="C304" s="6">
        <v>46081</v>
      </c>
      <c r="D304" t="s">
        <v>641</v>
      </c>
      <c r="E304" t="s">
        <v>502</v>
      </c>
      <c r="F304" s="7"/>
      <c r="G304" s="7">
        <v>3000</v>
      </c>
      <c r="H304" s="7">
        <v>9000</v>
      </c>
    </row>
    <row r="305" spans="1:8" x14ac:dyDescent="0.25">
      <c r="A305" t="s">
        <v>80</v>
      </c>
      <c r="B305" t="s">
        <v>81</v>
      </c>
      <c r="C305" s="6">
        <v>46112</v>
      </c>
      <c r="D305" t="s">
        <v>652</v>
      </c>
      <c r="E305" t="s">
        <v>535</v>
      </c>
      <c r="F305" s="7"/>
      <c r="G305" s="7">
        <v>3000</v>
      </c>
      <c r="H305" s="7">
        <v>12000</v>
      </c>
    </row>
    <row r="306" spans="1:8" s="15" customFormat="1" x14ac:dyDescent="0.25">
      <c r="A306" s="15" t="s">
        <v>34</v>
      </c>
      <c r="B306" s="15" t="s">
        <v>678</v>
      </c>
      <c r="C306" s="16"/>
      <c r="D306" s="15" t="s">
        <v>34</v>
      </c>
      <c r="E306" s="15" t="s">
        <v>34</v>
      </c>
      <c r="F306" s="17">
        <v>24000</v>
      </c>
      <c r="G306" s="17">
        <v>36000</v>
      </c>
      <c r="H306" s="17">
        <v>12000</v>
      </c>
    </row>
    <row r="308" spans="1:8" s="3" customFormat="1" x14ac:dyDescent="0.25">
      <c r="A308" s="3" t="s">
        <v>83</v>
      </c>
      <c r="B308" s="3" t="s">
        <v>84</v>
      </c>
      <c r="C308" s="13"/>
      <c r="D308" s="3" t="s">
        <v>34</v>
      </c>
      <c r="E308" s="3" t="s">
        <v>668</v>
      </c>
      <c r="F308" s="14"/>
      <c r="G308" s="14"/>
      <c r="H308" s="14">
        <v>0</v>
      </c>
    </row>
    <row r="309" spans="1:8" x14ac:dyDescent="0.25">
      <c r="A309" t="s">
        <v>83</v>
      </c>
      <c r="B309" t="s">
        <v>84</v>
      </c>
      <c r="C309" s="6">
        <v>46112</v>
      </c>
      <c r="D309" t="s">
        <v>649</v>
      </c>
      <c r="E309" t="s">
        <v>526</v>
      </c>
      <c r="F309" s="7"/>
      <c r="G309" s="7">
        <v>3200</v>
      </c>
      <c r="H309" s="7">
        <v>3200</v>
      </c>
    </row>
    <row r="310" spans="1:8" s="15" customFormat="1" x14ac:dyDescent="0.25">
      <c r="A310" s="15" t="s">
        <v>34</v>
      </c>
      <c r="B310" s="15" t="s">
        <v>679</v>
      </c>
      <c r="C310" s="16"/>
      <c r="D310" s="15" t="s">
        <v>34</v>
      </c>
      <c r="E310" s="15" t="s">
        <v>34</v>
      </c>
      <c r="F310" s="17">
        <v>0</v>
      </c>
      <c r="G310" s="17">
        <v>3200</v>
      </c>
      <c r="H310" s="17">
        <v>3200</v>
      </c>
    </row>
    <row r="312" spans="1:8" s="3" customFormat="1" x14ac:dyDescent="0.25">
      <c r="A312" s="3" t="s">
        <v>85</v>
      </c>
      <c r="B312" s="3" t="s">
        <v>86</v>
      </c>
      <c r="C312" s="13"/>
      <c r="D312" s="3" t="s">
        <v>34</v>
      </c>
      <c r="E312" s="3" t="s">
        <v>668</v>
      </c>
      <c r="F312" s="14"/>
      <c r="G312" s="14"/>
      <c r="H312" s="14">
        <v>0</v>
      </c>
    </row>
    <row r="313" spans="1:8" x14ac:dyDescent="0.25">
      <c r="A313" t="s">
        <v>85</v>
      </c>
      <c r="B313" t="s">
        <v>86</v>
      </c>
      <c r="C313" s="6">
        <v>45748</v>
      </c>
      <c r="D313" t="s">
        <v>542</v>
      </c>
      <c r="E313" t="s">
        <v>143</v>
      </c>
      <c r="F313" s="7"/>
      <c r="G313" s="7">
        <v>2500000</v>
      </c>
      <c r="H313" s="7">
        <v>2500000</v>
      </c>
    </row>
    <row r="314" spans="1:8" x14ac:dyDescent="0.25">
      <c r="A314" t="s">
        <v>85</v>
      </c>
      <c r="B314" t="s">
        <v>86</v>
      </c>
      <c r="C314" s="6">
        <v>45748</v>
      </c>
      <c r="D314" t="s">
        <v>543</v>
      </c>
      <c r="E314" t="s">
        <v>147</v>
      </c>
      <c r="F314" s="7"/>
      <c r="G314" s="7">
        <v>100000</v>
      </c>
      <c r="H314" s="7">
        <v>2600000</v>
      </c>
    </row>
    <row r="315" spans="1:8" x14ac:dyDescent="0.25">
      <c r="A315" t="s">
        <v>85</v>
      </c>
      <c r="B315" t="s">
        <v>86</v>
      </c>
      <c r="C315" s="6">
        <v>45912</v>
      </c>
      <c r="D315" t="s">
        <v>596</v>
      </c>
      <c r="E315" t="s">
        <v>359</v>
      </c>
      <c r="F315" s="7"/>
      <c r="G315" s="7">
        <v>500000</v>
      </c>
      <c r="H315" s="7">
        <v>3100000</v>
      </c>
    </row>
    <row r="316" spans="1:8" s="15" customFormat="1" x14ac:dyDescent="0.25">
      <c r="A316" s="15" t="s">
        <v>34</v>
      </c>
      <c r="B316" s="15" t="s">
        <v>680</v>
      </c>
      <c r="C316" s="16"/>
      <c r="D316" s="15" t="s">
        <v>34</v>
      </c>
      <c r="E316" s="15" t="s">
        <v>34</v>
      </c>
      <c r="F316" s="17">
        <v>0</v>
      </c>
      <c r="G316" s="17">
        <v>3100000</v>
      </c>
      <c r="H316" s="17">
        <v>3100000</v>
      </c>
    </row>
    <row r="318" spans="1:8" s="3" customFormat="1" x14ac:dyDescent="0.25">
      <c r="A318" s="3" t="s">
        <v>93</v>
      </c>
      <c r="B318" s="3" t="s">
        <v>94</v>
      </c>
      <c r="C318" s="13"/>
      <c r="D318" s="3" t="s">
        <v>34</v>
      </c>
      <c r="E318" s="3" t="s">
        <v>668</v>
      </c>
      <c r="F318" s="14"/>
      <c r="G318" s="14"/>
      <c r="H318" s="14">
        <v>0</v>
      </c>
    </row>
    <row r="319" spans="1:8" x14ac:dyDescent="0.25">
      <c r="A319" t="s">
        <v>93</v>
      </c>
      <c r="B319" t="s">
        <v>94</v>
      </c>
      <c r="C319" s="6">
        <v>45767</v>
      </c>
      <c r="D319" t="s">
        <v>554</v>
      </c>
      <c r="E319" t="s">
        <v>206</v>
      </c>
      <c r="F319" s="7"/>
      <c r="G319" s="7">
        <v>49000</v>
      </c>
      <c r="H319" s="7">
        <v>49000</v>
      </c>
    </row>
    <row r="320" spans="1:8" x14ac:dyDescent="0.25">
      <c r="A320" t="s">
        <v>93</v>
      </c>
      <c r="B320" t="s">
        <v>94</v>
      </c>
      <c r="C320" s="6">
        <v>45769</v>
      </c>
      <c r="D320" t="s">
        <v>555</v>
      </c>
      <c r="E320" t="s">
        <v>211</v>
      </c>
      <c r="F320" s="7"/>
      <c r="G320" s="7">
        <v>99000</v>
      </c>
      <c r="H320" s="7">
        <v>148000</v>
      </c>
    </row>
    <row r="321" spans="1:8" x14ac:dyDescent="0.25">
      <c r="A321" t="s">
        <v>93</v>
      </c>
      <c r="B321" t="s">
        <v>94</v>
      </c>
      <c r="C321" s="6">
        <v>45772</v>
      </c>
      <c r="D321" t="s">
        <v>556</v>
      </c>
      <c r="E321" t="s">
        <v>215</v>
      </c>
      <c r="F321" s="7"/>
      <c r="G321" s="7">
        <v>50000</v>
      </c>
      <c r="H321" s="7">
        <v>198000</v>
      </c>
    </row>
    <row r="322" spans="1:8" x14ac:dyDescent="0.25">
      <c r="A322" t="s">
        <v>93</v>
      </c>
      <c r="B322" t="s">
        <v>94</v>
      </c>
      <c r="C322" s="6">
        <v>45799</v>
      </c>
      <c r="D322" t="s">
        <v>566</v>
      </c>
      <c r="E322" t="s">
        <v>258</v>
      </c>
      <c r="F322" s="7"/>
      <c r="G322" s="7">
        <v>73500</v>
      </c>
      <c r="H322" s="7">
        <v>271500</v>
      </c>
    </row>
    <row r="323" spans="1:8" x14ac:dyDescent="0.25">
      <c r="A323" t="s">
        <v>93</v>
      </c>
      <c r="B323" t="s">
        <v>94</v>
      </c>
      <c r="C323" s="6">
        <v>45802</v>
      </c>
      <c r="D323" t="s">
        <v>567</v>
      </c>
      <c r="E323" t="s">
        <v>262</v>
      </c>
      <c r="F323" s="7"/>
      <c r="G323" s="7">
        <v>132000</v>
      </c>
      <c r="H323" s="7">
        <v>403500</v>
      </c>
    </row>
    <row r="324" spans="1:8" x14ac:dyDescent="0.25">
      <c r="A324" t="s">
        <v>93</v>
      </c>
      <c r="B324" t="s">
        <v>94</v>
      </c>
      <c r="C324" s="6">
        <v>45837</v>
      </c>
      <c r="D324" t="s">
        <v>576</v>
      </c>
      <c r="E324" t="s">
        <v>292</v>
      </c>
      <c r="F324" s="7"/>
      <c r="G324" s="7">
        <v>37500</v>
      </c>
      <c r="H324" s="7">
        <v>441000</v>
      </c>
    </row>
    <row r="325" spans="1:8" x14ac:dyDescent="0.25">
      <c r="A325" t="s">
        <v>93</v>
      </c>
      <c r="B325" t="s">
        <v>94</v>
      </c>
      <c r="C325" s="6">
        <v>45848</v>
      </c>
      <c r="D325" t="s">
        <v>582</v>
      </c>
      <c r="E325" t="s">
        <v>313</v>
      </c>
      <c r="F325" s="7"/>
      <c r="G325" s="7">
        <v>125000</v>
      </c>
      <c r="H325" s="7">
        <v>566000</v>
      </c>
    </row>
    <row r="326" spans="1:8" x14ac:dyDescent="0.25">
      <c r="A326" t="s">
        <v>93</v>
      </c>
      <c r="B326" t="s">
        <v>94</v>
      </c>
      <c r="C326" s="6">
        <v>45869</v>
      </c>
      <c r="D326" t="s">
        <v>586</v>
      </c>
      <c r="E326" t="s">
        <v>327</v>
      </c>
      <c r="F326" s="7"/>
      <c r="G326" s="7">
        <v>98000</v>
      </c>
      <c r="H326" s="7">
        <v>664000</v>
      </c>
    </row>
    <row r="327" spans="1:8" x14ac:dyDescent="0.25">
      <c r="A327" t="s">
        <v>93</v>
      </c>
      <c r="B327" t="s">
        <v>94</v>
      </c>
      <c r="C327" s="6">
        <v>45881</v>
      </c>
      <c r="D327" t="s">
        <v>590</v>
      </c>
      <c r="E327" t="s">
        <v>339</v>
      </c>
      <c r="F327" s="7"/>
      <c r="G327" s="7">
        <v>165000</v>
      </c>
      <c r="H327" s="7">
        <v>829000</v>
      </c>
    </row>
    <row r="328" spans="1:8" x14ac:dyDescent="0.25">
      <c r="A328" t="s">
        <v>93</v>
      </c>
      <c r="B328" t="s">
        <v>94</v>
      </c>
      <c r="C328" s="6">
        <v>45948</v>
      </c>
      <c r="D328" t="s">
        <v>607</v>
      </c>
      <c r="E328" t="s">
        <v>395</v>
      </c>
      <c r="F328" s="7"/>
      <c r="G328" s="7">
        <v>600000</v>
      </c>
      <c r="H328" s="7">
        <v>1429000</v>
      </c>
    </row>
    <row r="329" spans="1:8" x14ac:dyDescent="0.25">
      <c r="A329" t="s">
        <v>93</v>
      </c>
      <c r="B329" t="s">
        <v>94</v>
      </c>
      <c r="C329" s="6">
        <v>45950</v>
      </c>
      <c r="D329" t="s">
        <v>608</v>
      </c>
      <c r="E329" t="s">
        <v>398</v>
      </c>
      <c r="F329" s="7"/>
      <c r="G329" s="7">
        <v>340000</v>
      </c>
      <c r="H329" s="7">
        <v>1769000</v>
      </c>
    </row>
    <row r="330" spans="1:8" x14ac:dyDescent="0.25">
      <c r="A330" t="s">
        <v>93</v>
      </c>
      <c r="B330" t="s">
        <v>94</v>
      </c>
      <c r="C330" s="6">
        <v>45952</v>
      </c>
      <c r="D330" t="s">
        <v>609</v>
      </c>
      <c r="E330" t="s">
        <v>402</v>
      </c>
      <c r="F330" s="7"/>
      <c r="G330" s="7">
        <v>585000</v>
      </c>
      <c r="H330" s="7">
        <v>2354000</v>
      </c>
    </row>
    <row r="331" spans="1:8" x14ac:dyDescent="0.25">
      <c r="A331" t="s">
        <v>93</v>
      </c>
      <c r="B331" t="s">
        <v>94</v>
      </c>
      <c r="C331" s="6">
        <v>45986</v>
      </c>
      <c r="D331" t="s">
        <v>616</v>
      </c>
      <c r="E331" t="s">
        <v>423</v>
      </c>
      <c r="F331" s="7"/>
      <c r="G331" s="7">
        <v>148500</v>
      </c>
      <c r="H331" s="7">
        <v>2502500</v>
      </c>
    </row>
    <row r="332" spans="1:8" x14ac:dyDescent="0.25">
      <c r="A332" t="s">
        <v>93</v>
      </c>
      <c r="B332" t="s">
        <v>94</v>
      </c>
      <c r="C332" s="6">
        <v>46001</v>
      </c>
      <c r="D332" t="s">
        <v>620</v>
      </c>
      <c r="E332" t="s">
        <v>436</v>
      </c>
      <c r="F332" s="7"/>
      <c r="G332" s="7">
        <v>330000</v>
      </c>
      <c r="H332" s="7">
        <v>2832500</v>
      </c>
    </row>
    <row r="333" spans="1:8" x14ac:dyDescent="0.25">
      <c r="A333" t="s">
        <v>93</v>
      </c>
      <c r="B333" t="s">
        <v>94</v>
      </c>
      <c r="C333" s="6">
        <v>46037</v>
      </c>
      <c r="D333" t="s">
        <v>628</v>
      </c>
      <c r="E333" t="s">
        <v>462</v>
      </c>
      <c r="F333" s="7"/>
      <c r="G333" s="7">
        <v>125000</v>
      </c>
      <c r="H333" s="7">
        <v>2957500</v>
      </c>
    </row>
    <row r="334" spans="1:8" x14ac:dyDescent="0.25">
      <c r="A334" t="s">
        <v>93</v>
      </c>
      <c r="B334" t="s">
        <v>94</v>
      </c>
      <c r="C334" s="6">
        <v>46065</v>
      </c>
      <c r="D334" t="s">
        <v>636</v>
      </c>
      <c r="E334" t="s">
        <v>487</v>
      </c>
      <c r="F334" s="7"/>
      <c r="G334" s="7">
        <v>330000</v>
      </c>
      <c r="H334" s="7">
        <v>3287500</v>
      </c>
    </row>
    <row r="335" spans="1:8" x14ac:dyDescent="0.25">
      <c r="A335" t="s">
        <v>93</v>
      </c>
      <c r="B335" t="s">
        <v>94</v>
      </c>
      <c r="C335" s="6">
        <v>46071</v>
      </c>
      <c r="D335" t="s">
        <v>638</v>
      </c>
      <c r="E335" t="s">
        <v>493</v>
      </c>
      <c r="F335" s="7"/>
      <c r="G335" s="7">
        <v>150000</v>
      </c>
      <c r="H335" s="7">
        <v>3437500</v>
      </c>
    </row>
    <row r="336" spans="1:8" x14ac:dyDescent="0.25">
      <c r="A336" t="s">
        <v>93</v>
      </c>
      <c r="B336" t="s">
        <v>94</v>
      </c>
      <c r="C336" s="6">
        <v>46086</v>
      </c>
      <c r="D336" t="s">
        <v>643</v>
      </c>
      <c r="E336" t="s">
        <v>211</v>
      </c>
      <c r="F336" s="7"/>
      <c r="G336" s="7">
        <v>247500</v>
      </c>
      <c r="H336" s="7">
        <v>3685000</v>
      </c>
    </row>
    <row r="337" spans="1:8" s="15" customFormat="1" x14ac:dyDescent="0.25">
      <c r="A337" s="15" t="s">
        <v>34</v>
      </c>
      <c r="B337" s="15" t="s">
        <v>681</v>
      </c>
      <c r="C337" s="16"/>
      <c r="D337" s="15" t="s">
        <v>34</v>
      </c>
      <c r="E337" s="15" t="s">
        <v>34</v>
      </c>
      <c r="F337" s="17">
        <v>0</v>
      </c>
      <c r="G337" s="17">
        <v>3685000</v>
      </c>
      <c r="H337" s="17">
        <v>3685000</v>
      </c>
    </row>
    <row r="339" spans="1:8" s="3" customFormat="1" x14ac:dyDescent="0.25">
      <c r="A339" s="3" t="s">
        <v>97</v>
      </c>
      <c r="B339" s="3" t="s">
        <v>98</v>
      </c>
      <c r="C339" s="13"/>
      <c r="D339" s="3" t="s">
        <v>34</v>
      </c>
      <c r="E339" s="3" t="s">
        <v>668</v>
      </c>
      <c r="F339" s="14"/>
      <c r="G339" s="14"/>
      <c r="H339" s="14">
        <v>0</v>
      </c>
    </row>
    <row r="340" spans="1:8" x14ac:dyDescent="0.25">
      <c r="A340" t="s">
        <v>97</v>
      </c>
      <c r="B340" t="s">
        <v>98</v>
      </c>
      <c r="C340" s="6">
        <v>45787</v>
      </c>
      <c r="D340" t="s">
        <v>563</v>
      </c>
      <c r="E340" t="s">
        <v>245</v>
      </c>
      <c r="F340" s="7"/>
      <c r="G340" s="7">
        <v>40000</v>
      </c>
      <c r="H340" s="7">
        <v>40000</v>
      </c>
    </row>
    <row r="341" spans="1:8" x14ac:dyDescent="0.25">
      <c r="A341" t="s">
        <v>97</v>
      </c>
      <c r="B341" t="s">
        <v>98</v>
      </c>
      <c r="C341" s="6">
        <v>45955</v>
      </c>
      <c r="D341" t="s">
        <v>610</v>
      </c>
      <c r="E341" t="s">
        <v>405</v>
      </c>
      <c r="F341" s="7"/>
      <c r="G341" s="7">
        <v>25000</v>
      </c>
      <c r="H341" s="7">
        <v>65000</v>
      </c>
    </row>
    <row r="342" spans="1:8" x14ac:dyDescent="0.25">
      <c r="A342" t="s">
        <v>97</v>
      </c>
      <c r="B342" t="s">
        <v>98</v>
      </c>
      <c r="C342" s="6">
        <v>46040</v>
      </c>
      <c r="D342" t="s">
        <v>629</v>
      </c>
      <c r="E342" t="s">
        <v>465</v>
      </c>
      <c r="F342" s="7"/>
      <c r="G342" s="7">
        <v>12000</v>
      </c>
      <c r="H342" s="7">
        <v>77000</v>
      </c>
    </row>
    <row r="343" spans="1:8" x14ac:dyDescent="0.25">
      <c r="A343" t="s">
        <v>97</v>
      </c>
      <c r="B343" t="s">
        <v>98</v>
      </c>
      <c r="C343" s="6">
        <v>46068</v>
      </c>
      <c r="D343" t="s">
        <v>637</v>
      </c>
      <c r="E343" t="s">
        <v>490</v>
      </c>
      <c r="F343" s="7"/>
      <c r="G343" s="7">
        <v>18000</v>
      </c>
      <c r="H343" s="7">
        <v>95000</v>
      </c>
    </row>
    <row r="344" spans="1:8" s="15" customFormat="1" x14ac:dyDescent="0.25">
      <c r="A344" s="15" t="s">
        <v>34</v>
      </c>
      <c r="B344" s="15" t="s">
        <v>682</v>
      </c>
      <c r="C344" s="16"/>
      <c r="D344" s="15" t="s">
        <v>34</v>
      </c>
      <c r="E344" s="15" t="s">
        <v>34</v>
      </c>
      <c r="F344" s="17">
        <v>0</v>
      </c>
      <c r="G344" s="17">
        <v>95000</v>
      </c>
      <c r="H344" s="17">
        <v>95000</v>
      </c>
    </row>
    <row r="346" spans="1:8" s="3" customFormat="1" x14ac:dyDescent="0.25">
      <c r="A346" s="3" t="s">
        <v>99</v>
      </c>
      <c r="B346" s="3" t="s">
        <v>100</v>
      </c>
      <c r="C346" s="13"/>
      <c r="D346" s="3" t="s">
        <v>34</v>
      </c>
      <c r="E346" s="3" t="s">
        <v>668</v>
      </c>
      <c r="F346" s="14"/>
      <c r="G346" s="14"/>
      <c r="H346" s="14">
        <v>0</v>
      </c>
    </row>
    <row r="347" spans="1:8" x14ac:dyDescent="0.25">
      <c r="A347" t="s">
        <v>99</v>
      </c>
      <c r="B347" t="s">
        <v>100</v>
      </c>
      <c r="C347" s="6">
        <v>45838</v>
      </c>
      <c r="D347" t="s">
        <v>580</v>
      </c>
      <c r="E347" t="s">
        <v>307</v>
      </c>
      <c r="F347" s="7"/>
      <c r="G347" s="7">
        <v>3100</v>
      </c>
      <c r="H347" s="7">
        <v>3100</v>
      </c>
    </row>
    <row r="348" spans="1:8" x14ac:dyDescent="0.25">
      <c r="A348" t="s">
        <v>99</v>
      </c>
      <c r="B348" t="s">
        <v>100</v>
      </c>
      <c r="C348" s="6">
        <v>45930</v>
      </c>
      <c r="D348" t="s">
        <v>602</v>
      </c>
      <c r="E348" t="s">
        <v>307</v>
      </c>
      <c r="F348" s="7"/>
      <c r="G348" s="7">
        <v>3400</v>
      </c>
      <c r="H348" s="7">
        <v>6500</v>
      </c>
    </row>
    <row r="349" spans="1:8" x14ac:dyDescent="0.25">
      <c r="A349" t="s">
        <v>99</v>
      </c>
      <c r="B349" t="s">
        <v>100</v>
      </c>
      <c r="C349" s="6">
        <v>46011</v>
      </c>
      <c r="D349" t="s">
        <v>622</v>
      </c>
      <c r="E349" t="s">
        <v>443</v>
      </c>
      <c r="F349" s="7"/>
      <c r="G349" s="7">
        <v>4500</v>
      </c>
      <c r="H349" s="7">
        <v>11000</v>
      </c>
    </row>
    <row r="350" spans="1:8" x14ac:dyDescent="0.25">
      <c r="A350" t="s">
        <v>99</v>
      </c>
      <c r="B350" t="s">
        <v>100</v>
      </c>
      <c r="C350" s="6">
        <v>46112</v>
      </c>
      <c r="D350" t="s">
        <v>648</v>
      </c>
      <c r="E350" t="s">
        <v>522</v>
      </c>
      <c r="F350" s="7"/>
      <c r="G350" s="7">
        <v>2100</v>
      </c>
      <c r="H350" s="7">
        <v>13100</v>
      </c>
    </row>
    <row r="351" spans="1:8" s="15" customFormat="1" x14ac:dyDescent="0.25">
      <c r="A351" s="15" t="s">
        <v>34</v>
      </c>
      <c r="B351" s="15" t="s">
        <v>683</v>
      </c>
      <c r="C351" s="16"/>
      <c r="D351" s="15" t="s">
        <v>34</v>
      </c>
      <c r="E351" s="15" t="s">
        <v>34</v>
      </c>
      <c r="F351" s="17">
        <v>0</v>
      </c>
      <c r="G351" s="17">
        <v>13100</v>
      </c>
      <c r="H351" s="17">
        <v>13100</v>
      </c>
    </row>
    <row r="353" spans="1:8" s="3" customFormat="1" x14ac:dyDescent="0.25">
      <c r="A353" s="3" t="s">
        <v>101</v>
      </c>
      <c r="B353" s="3" t="s">
        <v>102</v>
      </c>
      <c r="C353" s="13"/>
      <c r="D353" s="3" t="s">
        <v>34</v>
      </c>
      <c r="E353" s="3" t="s">
        <v>657</v>
      </c>
      <c r="F353" s="14"/>
      <c r="G353" s="14"/>
      <c r="H353" s="14">
        <v>0</v>
      </c>
    </row>
    <row r="354" spans="1:8" x14ac:dyDescent="0.25">
      <c r="A354" t="s">
        <v>101</v>
      </c>
      <c r="B354" t="s">
        <v>102</v>
      </c>
      <c r="C354" s="6">
        <v>45767</v>
      </c>
      <c r="D354" t="s">
        <v>554</v>
      </c>
      <c r="E354" t="s">
        <v>206</v>
      </c>
      <c r="F354" s="7">
        <v>28000</v>
      </c>
      <c r="G354" s="7"/>
      <c r="H354" s="7">
        <v>28000</v>
      </c>
    </row>
    <row r="355" spans="1:8" x14ac:dyDescent="0.25">
      <c r="A355" t="s">
        <v>101</v>
      </c>
      <c r="B355" t="s">
        <v>102</v>
      </c>
      <c r="C355" s="6">
        <v>45769</v>
      </c>
      <c r="D355" t="s">
        <v>555</v>
      </c>
      <c r="E355" t="s">
        <v>211</v>
      </c>
      <c r="F355" s="7">
        <v>54000</v>
      </c>
      <c r="G355" s="7"/>
      <c r="H355" s="7">
        <v>82000</v>
      </c>
    </row>
    <row r="356" spans="1:8" x14ac:dyDescent="0.25">
      <c r="A356" t="s">
        <v>101</v>
      </c>
      <c r="B356" t="s">
        <v>102</v>
      </c>
      <c r="C356" s="6">
        <v>45772</v>
      </c>
      <c r="D356" t="s">
        <v>556</v>
      </c>
      <c r="E356" t="s">
        <v>215</v>
      </c>
      <c r="F356" s="7">
        <v>26000</v>
      </c>
      <c r="G356" s="7"/>
      <c r="H356" s="7">
        <v>108000</v>
      </c>
    </row>
    <row r="357" spans="1:8" x14ac:dyDescent="0.25">
      <c r="A357" t="s">
        <v>101</v>
      </c>
      <c r="B357" t="s">
        <v>102</v>
      </c>
      <c r="C357" s="6">
        <v>45799</v>
      </c>
      <c r="D357" t="s">
        <v>566</v>
      </c>
      <c r="E357" t="s">
        <v>258</v>
      </c>
      <c r="F357" s="7">
        <v>42000</v>
      </c>
      <c r="G357" s="7"/>
      <c r="H357" s="7">
        <v>150000</v>
      </c>
    </row>
    <row r="358" spans="1:8" x14ac:dyDescent="0.25">
      <c r="A358" t="s">
        <v>101</v>
      </c>
      <c r="B358" t="s">
        <v>102</v>
      </c>
      <c r="C358" s="6">
        <v>45802</v>
      </c>
      <c r="D358" t="s">
        <v>567</v>
      </c>
      <c r="E358" t="s">
        <v>262</v>
      </c>
      <c r="F358" s="7">
        <v>72000</v>
      </c>
      <c r="G358" s="7"/>
      <c r="H358" s="7">
        <v>222000</v>
      </c>
    </row>
    <row r="359" spans="1:8" x14ac:dyDescent="0.25">
      <c r="A359" t="s">
        <v>101</v>
      </c>
      <c r="B359" t="s">
        <v>102</v>
      </c>
      <c r="C359" s="6">
        <v>45837</v>
      </c>
      <c r="D359" t="s">
        <v>576</v>
      </c>
      <c r="E359" t="s">
        <v>292</v>
      </c>
      <c r="F359" s="7">
        <v>19500</v>
      </c>
      <c r="G359" s="7"/>
      <c r="H359" s="7">
        <v>241500</v>
      </c>
    </row>
    <row r="360" spans="1:8" x14ac:dyDescent="0.25">
      <c r="A360" t="s">
        <v>101</v>
      </c>
      <c r="B360" t="s">
        <v>102</v>
      </c>
      <c r="C360" s="6">
        <v>45848</v>
      </c>
      <c r="D360" t="s">
        <v>582</v>
      </c>
      <c r="E360" t="s">
        <v>313</v>
      </c>
      <c r="F360" s="7">
        <v>65000</v>
      </c>
      <c r="G360" s="7"/>
      <c r="H360" s="7">
        <v>306500</v>
      </c>
    </row>
    <row r="361" spans="1:8" x14ac:dyDescent="0.25">
      <c r="A361" t="s">
        <v>101</v>
      </c>
      <c r="B361" t="s">
        <v>102</v>
      </c>
      <c r="C361" s="6">
        <v>45869</v>
      </c>
      <c r="D361" t="s">
        <v>586</v>
      </c>
      <c r="E361" t="s">
        <v>327</v>
      </c>
      <c r="F361" s="7">
        <v>56800</v>
      </c>
      <c r="G361" s="7"/>
      <c r="H361" s="7">
        <v>363300</v>
      </c>
    </row>
    <row r="362" spans="1:8" x14ac:dyDescent="0.25">
      <c r="A362" t="s">
        <v>101</v>
      </c>
      <c r="B362" t="s">
        <v>102</v>
      </c>
      <c r="C362" s="6">
        <v>45881</v>
      </c>
      <c r="D362" t="s">
        <v>590</v>
      </c>
      <c r="E362" t="s">
        <v>339</v>
      </c>
      <c r="F362" s="7">
        <v>90000</v>
      </c>
      <c r="G362" s="7"/>
      <c r="H362" s="7">
        <v>453300</v>
      </c>
    </row>
    <row r="363" spans="1:8" x14ac:dyDescent="0.25">
      <c r="A363" t="s">
        <v>101</v>
      </c>
      <c r="B363" t="s">
        <v>102</v>
      </c>
      <c r="C363" s="6">
        <v>45948</v>
      </c>
      <c r="D363" t="s">
        <v>607</v>
      </c>
      <c r="E363" t="s">
        <v>395</v>
      </c>
      <c r="F363" s="7">
        <v>341318.92</v>
      </c>
      <c r="G363" s="7"/>
      <c r="H363" s="7">
        <v>794618.92</v>
      </c>
    </row>
    <row r="364" spans="1:8" x14ac:dyDescent="0.25">
      <c r="A364" t="s">
        <v>101</v>
      </c>
      <c r="B364" t="s">
        <v>102</v>
      </c>
      <c r="C364" s="6">
        <v>45950</v>
      </c>
      <c r="D364" t="s">
        <v>608</v>
      </c>
      <c r="E364" t="s">
        <v>398</v>
      </c>
      <c r="F364" s="7">
        <v>182608.7</v>
      </c>
      <c r="G364" s="7"/>
      <c r="H364" s="7">
        <v>977227.62</v>
      </c>
    </row>
    <row r="365" spans="1:8" x14ac:dyDescent="0.25">
      <c r="A365" t="s">
        <v>101</v>
      </c>
      <c r="B365" t="s">
        <v>102</v>
      </c>
      <c r="C365" s="6">
        <v>45952</v>
      </c>
      <c r="D365" t="s">
        <v>609</v>
      </c>
      <c r="E365" t="s">
        <v>402</v>
      </c>
      <c r="F365" s="7">
        <v>294642.86</v>
      </c>
      <c r="G365" s="7"/>
      <c r="H365" s="7">
        <v>1271870.48</v>
      </c>
    </row>
    <row r="366" spans="1:8" x14ac:dyDescent="0.25">
      <c r="A366" t="s">
        <v>101</v>
      </c>
      <c r="B366" t="s">
        <v>102</v>
      </c>
      <c r="C366" s="6">
        <v>45986</v>
      </c>
      <c r="D366" t="s">
        <v>616</v>
      </c>
      <c r="E366" t="s">
        <v>423</v>
      </c>
      <c r="F366" s="7">
        <v>85329.73</v>
      </c>
      <c r="G366" s="7"/>
      <c r="H366" s="7">
        <v>1357200.21</v>
      </c>
    </row>
    <row r="367" spans="1:8" x14ac:dyDescent="0.25">
      <c r="A367" t="s">
        <v>101</v>
      </c>
      <c r="B367" t="s">
        <v>102</v>
      </c>
      <c r="C367" s="6">
        <v>46001</v>
      </c>
      <c r="D367" t="s">
        <v>620</v>
      </c>
      <c r="E367" t="s">
        <v>436</v>
      </c>
      <c r="F367" s="7">
        <v>182608.69</v>
      </c>
      <c r="G367" s="7"/>
      <c r="H367" s="7">
        <v>1539808.9</v>
      </c>
    </row>
    <row r="368" spans="1:8" x14ac:dyDescent="0.25">
      <c r="A368" t="s">
        <v>101</v>
      </c>
      <c r="B368" t="s">
        <v>102</v>
      </c>
      <c r="C368" s="6">
        <v>46037</v>
      </c>
      <c r="D368" t="s">
        <v>628</v>
      </c>
      <c r="E368" t="s">
        <v>462</v>
      </c>
      <c r="F368" s="7">
        <v>65476.19</v>
      </c>
      <c r="G368" s="7"/>
      <c r="H368" s="7">
        <v>1605285.09</v>
      </c>
    </row>
    <row r="369" spans="1:8" x14ac:dyDescent="0.25">
      <c r="A369" t="s">
        <v>101</v>
      </c>
      <c r="B369" t="s">
        <v>102</v>
      </c>
      <c r="C369" s="6">
        <v>46065</v>
      </c>
      <c r="D369" t="s">
        <v>636</v>
      </c>
      <c r="E369" t="s">
        <v>487</v>
      </c>
      <c r="F369" s="7">
        <v>187101.45</v>
      </c>
      <c r="G369" s="7"/>
      <c r="H369" s="7">
        <v>1792386.54</v>
      </c>
    </row>
    <row r="370" spans="1:8" x14ac:dyDescent="0.25">
      <c r="A370" t="s">
        <v>101</v>
      </c>
      <c r="B370" t="s">
        <v>102</v>
      </c>
      <c r="C370" s="6">
        <v>46071</v>
      </c>
      <c r="D370" t="s">
        <v>638</v>
      </c>
      <c r="E370" t="s">
        <v>493</v>
      </c>
      <c r="F370" s="7">
        <v>85329.73</v>
      </c>
      <c r="G370" s="7"/>
      <c r="H370" s="7">
        <v>1877716.27</v>
      </c>
    </row>
    <row r="371" spans="1:8" x14ac:dyDescent="0.25">
      <c r="A371" t="s">
        <v>101</v>
      </c>
      <c r="B371" t="s">
        <v>102</v>
      </c>
      <c r="C371" s="6">
        <v>46086</v>
      </c>
      <c r="D371" t="s">
        <v>643</v>
      </c>
      <c r="E371" t="s">
        <v>211</v>
      </c>
      <c r="F371" s="7">
        <v>140326.09</v>
      </c>
      <c r="G371" s="7"/>
      <c r="H371" s="7">
        <v>2018042.36</v>
      </c>
    </row>
    <row r="372" spans="1:8" s="15" customFormat="1" x14ac:dyDescent="0.25">
      <c r="A372" s="15" t="s">
        <v>34</v>
      </c>
      <c r="B372" s="15" t="s">
        <v>684</v>
      </c>
      <c r="C372" s="16"/>
      <c r="D372" s="15" t="s">
        <v>34</v>
      </c>
      <c r="E372" s="15" t="s">
        <v>34</v>
      </c>
      <c r="F372" s="17">
        <v>2018042.36</v>
      </c>
      <c r="G372" s="17">
        <v>0</v>
      </c>
      <c r="H372" s="17">
        <v>2018042.36</v>
      </c>
    </row>
    <row r="374" spans="1:8" s="3" customFormat="1" x14ac:dyDescent="0.25">
      <c r="A374" s="3" t="s">
        <v>105</v>
      </c>
      <c r="B374" s="3" t="s">
        <v>106</v>
      </c>
      <c r="C374" s="13"/>
      <c r="D374" s="3" t="s">
        <v>34</v>
      </c>
      <c r="E374" s="3" t="s">
        <v>657</v>
      </c>
      <c r="F374" s="14"/>
      <c r="G374" s="14"/>
      <c r="H374" s="14">
        <v>0</v>
      </c>
    </row>
    <row r="375" spans="1:8" x14ac:dyDescent="0.25">
      <c r="A375" t="s">
        <v>105</v>
      </c>
      <c r="B375" t="s">
        <v>106</v>
      </c>
      <c r="C375" s="6">
        <v>45777</v>
      </c>
      <c r="D375" t="s">
        <v>559</v>
      </c>
      <c r="E375" t="s">
        <v>230</v>
      </c>
      <c r="F375" s="7">
        <v>40000</v>
      </c>
      <c r="G375" s="7"/>
      <c r="H375" s="7">
        <v>40000</v>
      </c>
    </row>
    <row r="376" spans="1:8" x14ac:dyDescent="0.25">
      <c r="A376" t="s">
        <v>105</v>
      </c>
      <c r="B376" t="s">
        <v>106</v>
      </c>
      <c r="C376" s="6">
        <v>45808</v>
      </c>
      <c r="D376" t="s">
        <v>568</v>
      </c>
      <c r="E376" t="s">
        <v>265</v>
      </c>
      <c r="F376" s="7">
        <v>40000</v>
      </c>
      <c r="G376" s="7"/>
      <c r="H376" s="7">
        <v>80000</v>
      </c>
    </row>
    <row r="377" spans="1:8" x14ac:dyDescent="0.25">
      <c r="A377" t="s">
        <v>105</v>
      </c>
      <c r="B377" t="s">
        <v>106</v>
      </c>
      <c r="C377" s="6">
        <v>45838</v>
      </c>
      <c r="D377" t="s">
        <v>578</v>
      </c>
      <c r="E377" t="s">
        <v>298</v>
      </c>
      <c r="F377" s="7">
        <v>40000</v>
      </c>
      <c r="G377" s="7"/>
      <c r="H377" s="7">
        <v>120000</v>
      </c>
    </row>
    <row r="378" spans="1:8" x14ac:dyDescent="0.25">
      <c r="A378" t="s">
        <v>105</v>
      </c>
      <c r="B378" t="s">
        <v>106</v>
      </c>
      <c r="C378" s="6">
        <v>45869</v>
      </c>
      <c r="D378" t="s">
        <v>587</v>
      </c>
      <c r="E378" t="s">
        <v>330</v>
      </c>
      <c r="F378" s="7">
        <v>40000</v>
      </c>
      <c r="G378" s="7"/>
      <c r="H378" s="7">
        <v>160000</v>
      </c>
    </row>
    <row r="379" spans="1:8" x14ac:dyDescent="0.25">
      <c r="A379" t="s">
        <v>105</v>
      </c>
      <c r="B379" t="s">
        <v>106</v>
      </c>
      <c r="C379" s="6">
        <v>45900</v>
      </c>
      <c r="D379" t="s">
        <v>593</v>
      </c>
      <c r="E379" t="s">
        <v>350</v>
      </c>
      <c r="F379" s="7">
        <v>40000</v>
      </c>
      <c r="G379" s="7"/>
      <c r="H379" s="7">
        <v>200000</v>
      </c>
    </row>
    <row r="380" spans="1:8" x14ac:dyDescent="0.25">
      <c r="A380" t="s">
        <v>105</v>
      </c>
      <c r="B380" t="s">
        <v>106</v>
      </c>
      <c r="C380" s="6">
        <v>45930</v>
      </c>
      <c r="D380" t="s">
        <v>601</v>
      </c>
      <c r="E380" t="s">
        <v>378</v>
      </c>
      <c r="F380" s="7">
        <v>40000</v>
      </c>
      <c r="G380" s="7"/>
      <c r="H380" s="7">
        <v>240000</v>
      </c>
    </row>
    <row r="381" spans="1:8" x14ac:dyDescent="0.25">
      <c r="A381" t="s">
        <v>105</v>
      </c>
      <c r="B381" t="s">
        <v>106</v>
      </c>
      <c r="C381" s="6">
        <v>45961</v>
      </c>
      <c r="D381" t="s">
        <v>611</v>
      </c>
      <c r="E381" t="s">
        <v>408</v>
      </c>
      <c r="F381" s="7">
        <v>40000</v>
      </c>
      <c r="G381" s="7"/>
      <c r="H381" s="7">
        <v>280000</v>
      </c>
    </row>
    <row r="382" spans="1:8" x14ac:dyDescent="0.25">
      <c r="A382" t="s">
        <v>105</v>
      </c>
      <c r="B382" t="s">
        <v>106</v>
      </c>
      <c r="C382" s="6">
        <v>45991</v>
      </c>
      <c r="D382" t="s">
        <v>617</v>
      </c>
      <c r="E382" t="s">
        <v>426</v>
      </c>
      <c r="F382" s="7">
        <v>40000</v>
      </c>
      <c r="G382" s="7"/>
      <c r="H382" s="7">
        <v>320000</v>
      </c>
    </row>
    <row r="383" spans="1:8" x14ac:dyDescent="0.25">
      <c r="A383" t="s">
        <v>105</v>
      </c>
      <c r="B383" t="s">
        <v>106</v>
      </c>
      <c r="C383" s="6">
        <v>46022</v>
      </c>
      <c r="D383" t="s">
        <v>625</v>
      </c>
      <c r="E383" t="s">
        <v>453</v>
      </c>
      <c r="F383" s="7">
        <v>40000</v>
      </c>
      <c r="G383" s="7"/>
      <c r="H383" s="7">
        <v>360000</v>
      </c>
    </row>
    <row r="384" spans="1:8" x14ac:dyDescent="0.25">
      <c r="A384" t="s">
        <v>105</v>
      </c>
      <c r="B384" t="s">
        <v>106</v>
      </c>
      <c r="C384" s="6">
        <v>46053</v>
      </c>
      <c r="D384" t="s">
        <v>633</v>
      </c>
      <c r="E384" t="s">
        <v>478</v>
      </c>
      <c r="F384" s="7">
        <v>40000</v>
      </c>
      <c r="G384" s="7"/>
      <c r="H384" s="7">
        <v>400000</v>
      </c>
    </row>
    <row r="385" spans="1:8" x14ac:dyDescent="0.25">
      <c r="A385" t="s">
        <v>105</v>
      </c>
      <c r="B385" t="s">
        <v>106</v>
      </c>
      <c r="C385" s="6">
        <v>46081</v>
      </c>
      <c r="D385" t="s">
        <v>641</v>
      </c>
      <c r="E385" t="s">
        <v>502</v>
      </c>
      <c r="F385" s="7">
        <v>40000</v>
      </c>
      <c r="G385" s="7"/>
      <c r="H385" s="7">
        <v>440000</v>
      </c>
    </row>
    <row r="386" spans="1:8" x14ac:dyDescent="0.25">
      <c r="A386" t="s">
        <v>105</v>
      </c>
      <c r="B386" t="s">
        <v>106</v>
      </c>
      <c r="C386" s="6">
        <v>46112</v>
      </c>
      <c r="D386" t="s">
        <v>652</v>
      </c>
      <c r="E386" t="s">
        <v>535</v>
      </c>
      <c r="F386" s="7">
        <v>40000</v>
      </c>
      <c r="G386" s="7"/>
      <c r="H386" s="7">
        <v>480000</v>
      </c>
    </row>
    <row r="387" spans="1:8" s="15" customFormat="1" x14ac:dyDescent="0.25">
      <c r="A387" s="15" t="s">
        <v>34</v>
      </c>
      <c r="B387" s="15" t="s">
        <v>685</v>
      </c>
      <c r="C387" s="16"/>
      <c r="D387" s="15" t="s">
        <v>34</v>
      </c>
      <c r="E387" s="15" t="s">
        <v>34</v>
      </c>
      <c r="F387" s="17">
        <v>480000</v>
      </c>
      <c r="G387" s="17">
        <v>0</v>
      </c>
      <c r="H387" s="17">
        <v>480000</v>
      </c>
    </row>
    <row r="389" spans="1:8" s="3" customFormat="1" x14ac:dyDescent="0.25">
      <c r="A389" s="3" t="s">
        <v>108</v>
      </c>
      <c r="B389" s="3" t="s">
        <v>109</v>
      </c>
      <c r="C389" s="13"/>
      <c r="D389" s="3" t="s">
        <v>34</v>
      </c>
      <c r="E389" s="3" t="s">
        <v>657</v>
      </c>
      <c r="F389" s="14"/>
      <c r="G389" s="14"/>
      <c r="H389" s="14">
        <v>0</v>
      </c>
    </row>
    <row r="390" spans="1:8" x14ac:dyDescent="0.25">
      <c r="A390" t="s">
        <v>108</v>
      </c>
      <c r="B390" t="s">
        <v>109</v>
      </c>
      <c r="C390" s="6">
        <v>45757</v>
      </c>
      <c r="D390" t="s">
        <v>550</v>
      </c>
      <c r="E390" t="s">
        <v>182</v>
      </c>
      <c r="F390" s="7">
        <v>66000</v>
      </c>
      <c r="G390" s="7"/>
      <c r="H390" s="7">
        <v>66000</v>
      </c>
    </row>
    <row r="391" spans="1:8" x14ac:dyDescent="0.25">
      <c r="A391" t="s">
        <v>108</v>
      </c>
      <c r="B391" t="s">
        <v>109</v>
      </c>
      <c r="C391" s="6">
        <v>45930</v>
      </c>
      <c r="D391" t="s">
        <v>599</v>
      </c>
      <c r="E391" t="s">
        <v>372</v>
      </c>
      <c r="F391" s="7">
        <v>66000</v>
      </c>
      <c r="G391" s="7"/>
      <c r="H391" s="7">
        <v>132000</v>
      </c>
    </row>
    <row r="392" spans="1:8" x14ac:dyDescent="0.25">
      <c r="A392" t="s">
        <v>108</v>
      </c>
      <c r="B392" t="s">
        <v>109</v>
      </c>
      <c r="C392" s="6">
        <v>46022</v>
      </c>
      <c r="D392" t="s">
        <v>623</v>
      </c>
      <c r="E392" t="s">
        <v>447</v>
      </c>
      <c r="F392" s="7">
        <v>66000</v>
      </c>
      <c r="G392" s="7"/>
      <c r="H392" s="7">
        <v>198000</v>
      </c>
    </row>
    <row r="393" spans="1:8" x14ac:dyDescent="0.25">
      <c r="A393" t="s">
        <v>108</v>
      </c>
      <c r="B393" t="s">
        <v>109</v>
      </c>
      <c r="C393" s="6">
        <v>46112</v>
      </c>
      <c r="D393" t="s">
        <v>650</v>
      </c>
      <c r="E393" t="s">
        <v>529</v>
      </c>
      <c r="F393" s="7">
        <v>66000</v>
      </c>
      <c r="G393" s="7"/>
      <c r="H393" s="7">
        <v>264000</v>
      </c>
    </row>
    <row r="394" spans="1:8" s="15" customFormat="1" x14ac:dyDescent="0.25">
      <c r="A394" s="15" t="s">
        <v>34</v>
      </c>
      <c r="B394" s="15" t="s">
        <v>686</v>
      </c>
      <c r="C394" s="16"/>
      <c r="D394" s="15" t="s">
        <v>34</v>
      </c>
      <c r="E394" s="15" t="s">
        <v>34</v>
      </c>
      <c r="F394" s="17">
        <v>264000</v>
      </c>
      <c r="G394" s="17">
        <v>0</v>
      </c>
      <c r="H394" s="17">
        <v>264000</v>
      </c>
    </row>
    <row r="396" spans="1:8" s="3" customFormat="1" x14ac:dyDescent="0.25">
      <c r="A396" s="3" t="s">
        <v>110</v>
      </c>
      <c r="B396" s="3" t="s">
        <v>111</v>
      </c>
      <c r="C396" s="13"/>
      <c r="D396" s="3" t="s">
        <v>34</v>
      </c>
      <c r="E396" s="3" t="s">
        <v>657</v>
      </c>
      <c r="F396" s="14"/>
      <c r="G396" s="14"/>
      <c r="H396" s="14">
        <v>0</v>
      </c>
    </row>
    <row r="397" spans="1:8" x14ac:dyDescent="0.25">
      <c r="A397" t="s">
        <v>110</v>
      </c>
      <c r="B397" t="s">
        <v>111</v>
      </c>
      <c r="C397" s="6">
        <v>45773</v>
      </c>
      <c r="D397" t="s">
        <v>557</v>
      </c>
      <c r="E397" t="s">
        <v>218</v>
      </c>
      <c r="F397" s="7">
        <v>8500</v>
      </c>
      <c r="G397" s="7"/>
      <c r="H397" s="7">
        <v>8500</v>
      </c>
    </row>
    <row r="398" spans="1:8" x14ac:dyDescent="0.25">
      <c r="A398" t="s">
        <v>110</v>
      </c>
      <c r="B398" t="s">
        <v>111</v>
      </c>
      <c r="C398" s="6">
        <v>45828</v>
      </c>
      <c r="D398" t="s">
        <v>574</v>
      </c>
      <c r="E398" t="s">
        <v>285</v>
      </c>
      <c r="F398" s="7">
        <v>17000</v>
      </c>
      <c r="G398" s="7"/>
      <c r="H398" s="7">
        <v>25500</v>
      </c>
    </row>
    <row r="399" spans="1:8" x14ac:dyDescent="0.25">
      <c r="A399" t="s">
        <v>110</v>
      </c>
      <c r="B399" t="s">
        <v>111</v>
      </c>
      <c r="C399" s="6">
        <v>45920</v>
      </c>
      <c r="D399" t="s">
        <v>598</v>
      </c>
      <c r="E399" t="s">
        <v>367</v>
      </c>
      <c r="F399" s="7">
        <v>9000</v>
      </c>
      <c r="G399" s="7"/>
      <c r="H399" s="7">
        <v>34500</v>
      </c>
    </row>
    <row r="400" spans="1:8" x14ac:dyDescent="0.25">
      <c r="A400" t="s">
        <v>110</v>
      </c>
      <c r="B400" t="s">
        <v>111</v>
      </c>
      <c r="C400" s="6">
        <v>46032</v>
      </c>
      <c r="D400" t="s">
        <v>627</v>
      </c>
      <c r="E400" t="s">
        <v>459</v>
      </c>
      <c r="F400" s="7">
        <v>24000</v>
      </c>
      <c r="G400" s="7"/>
      <c r="H400" s="7">
        <v>58500</v>
      </c>
    </row>
    <row r="401" spans="1:8" s="15" customFormat="1" x14ac:dyDescent="0.25">
      <c r="A401" s="15" t="s">
        <v>34</v>
      </c>
      <c r="B401" s="15" t="s">
        <v>687</v>
      </c>
      <c r="C401" s="16"/>
      <c r="D401" s="15" t="s">
        <v>34</v>
      </c>
      <c r="E401" s="15" t="s">
        <v>34</v>
      </c>
      <c r="F401" s="17">
        <v>58500</v>
      </c>
      <c r="G401" s="17">
        <v>0</v>
      </c>
      <c r="H401" s="17">
        <v>58500</v>
      </c>
    </row>
    <row r="403" spans="1:8" s="3" customFormat="1" x14ac:dyDescent="0.25">
      <c r="A403" s="3" t="s">
        <v>112</v>
      </c>
      <c r="B403" s="3" t="s">
        <v>113</v>
      </c>
      <c r="C403" s="13"/>
      <c r="D403" s="3" t="s">
        <v>34</v>
      </c>
      <c r="E403" s="3" t="s">
        <v>657</v>
      </c>
      <c r="F403" s="14"/>
      <c r="G403" s="14"/>
      <c r="H403" s="14">
        <v>0</v>
      </c>
    </row>
    <row r="404" spans="1:8" x14ac:dyDescent="0.25">
      <c r="A404" t="s">
        <v>112</v>
      </c>
      <c r="B404" t="s">
        <v>113</v>
      </c>
      <c r="C404" s="6">
        <v>45775</v>
      </c>
      <c r="D404" t="s">
        <v>558</v>
      </c>
      <c r="E404" t="s">
        <v>224</v>
      </c>
      <c r="F404" s="7">
        <v>25000</v>
      </c>
      <c r="G404" s="7"/>
      <c r="H404" s="7">
        <v>25000</v>
      </c>
    </row>
    <row r="405" spans="1:8" x14ac:dyDescent="0.25">
      <c r="A405" t="s">
        <v>112</v>
      </c>
      <c r="B405" t="s">
        <v>113</v>
      </c>
      <c r="C405" s="6">
        <v>45853</v>
      </c>
      <c r="D405" t="s">
        <v>583</v>
      </c>
      <c r="E405" t="s">
        <v>316</v>
      </c>
      <c r="F405" s="7">
        <v>40000</v>
      </c>
      <c r="G405" s="7"/>
      <c r="H405" s="7">
        <v>65000</v>
      </c>
    </row>
    <row r="406" spans="1:8" x14ac:dyDescent="0.25">
      <c r="A406" t="s">
        <v>112</v>
      </c>
      <c r="B406" t="s">
        <v>113</v>
      </c>
      <c r="C406" s="6">
        <v>45942</v>
      </c>
      <c r="D406" t="s">
        <v>606</v>
      </c>
      <c r="E406" t="s">
        <v>392</v>
      </c>
      <c r="F406" s="7">
        <v>60000</v>
      </c>
      <c r="G406" s="7"/>
      <c r="H406" s="7">
        <v>125000</v>
      </c>
    </row>
    <row r="407" spans="1:8" s="15" customFormat="1" x14ac:dyDescent="0.25">
      <c r="A407" s="15" t="s">
        <v>34</v>
      </c>
      <c r="B407" s="15" t="s">
        <v>688</v>
      </c>
      <c r="C407" s="16"/>
      <c r="D407" s="15" t="s">
        <v>34</v>
      </c>
      <c r="E407" s="15" t="s">
        <v>34</v>
      </c>
      <c r="F407" s="17">
        <v>125000</v>
      </c>
      <c r="G407" s="17">
        <v>0</v>
      </c>
      <c r="H407" s="17">
        <v>125000</v>
      </c>
    </row>
    <row r="409" spans="1:8" s="3" customFormat="1" x14ac:dyDescent="0.25">
      <c r="A409" s="3" t="s">
        <v>114</v>
      </c>
      <c r="B409" s="3" t="s">
        <v>115</v>
      </c>
      <c r="C409" s="13"/>
      <c r="D409" s="3" t="s">
        <v>34</v>
      </c>
      <c r="E409" s="3" t="s">
        <v>657</v>
      </c>
      <c r="F409" s="14"/>
      <c r="G409" s="14"/>
      <c r="H409" s="14">
        <v>0</v>
      </c>
    </row>
    <row r="410" spans="1:8" x14ac:dyDescent="0.25">
      <c r="A410" t="s">
        <v>114</v>
      </c>
      <c r="B410" t="s">
        <v>115</v>
      </c>
      <c r="C410" s="6">
        <v>45838</v>
      </c>
      <c r="D410" t="s">
        <v>579</v>
      </c>
      <c r="E410" t="s">
        <v>302</v>
      </c>
      <c r="F410" s="7">
        <v>24945.2</v>
      </c>
      <c r="G410" s="7"/>
      <c r="H410" s="7">
        <v>24945.2</v>
      </c>
    </row>
    <row r="411" spans="1:8" x14ac:dyDescent="0.25">
      <c r="A411" t="s">
        <v>114</v>
      </c>
      <c r="B411" t="s">
        <v>115</v>
      </c>
      <c r="C411" s="6">
        <v>45930</v>
      </c>
      <c r="D411" t="s">
        <v>600</v>
      </c>
      <c r="E411" t="s">
        <v>375</v>
      </c>
      <c r="F411" s="7">
        <v>26339.73</v>
      </c>
      <c r="G411" s="7"/>
      <c r="H411" s="7">
        <v>51284.93</v>
      </c>
    </row>
    <row r="412" spans="1:8" x14ac:dyDescent="0.25">
      <c r="A412" t="s">
        <v>114</v>
      </c>
      <c r="B412" t="s">
        <v>115</v>
      </c>
      <c r="C412" s="6">
        <v>46022</v>
      </c>
      <c r="D412" t="s">
        <v>624</v>
      </c>
      <c r="E412" t="s">
        <v>450</v>
      </c>
      <c r="F412" s="7">
        <v>26339.73</v>
      </c>
      <c r="G412" s="7"/>
      <c r="H412" s="7">
        <v>77624.66</v>
      </c>
    </row>
    <row r="413" spans="1:8" x14ac:dyDescent="0.25">
      <c r="A413" t="s">
        <v>114</v>
      </c>
      <c r="B413" t="s">
        <v>115</v>
      </c>
      <c r="C413" s="6">
        <v>46112</v>
      </c>
      <c r="D413" t="s">
        <v>651</v>
      </c>
      <c r="E413" t="s">
        <v>532</v>
      </c>
      <c r="F413" s="7">
        <v>25767.12</v>
      </c>
      <c r="G413" s="7"/>
      <c r="H413" s="7">
        <v>103391.78</v>
      </c>
    </row>
    <row r="414" spans="1:8" s="15" customFormat="1" x14ac:dyDescent="0.25">
      <c r="A414" s="15" t="s">
        <v>34</v>
      </c>
      <c r="B414" s="15" t="s">
        <v>689</v>
      </c>
      <c r="C414" s="16"/>
      <c r="D414" s="15" t="s">
        <v>34</v>
      </c>
      <c r="E414" s="15" t="s">
        <v>34</v>
      </c>
      <c r="F414" s="17">
        <v>103391.78</v>
      </c>
      <c r="G414" s="17">
        <v>0</v>
      </c>
      <c r="H414" s="17">
        <v>103391.78</v>
      </c>
    </row>
    <row r="416" spans="1:8" s="3" customFormat="1" x14ac:dyDescent="0.25">
      <c r="A416" s="3" t="s">
        <v>116</v>
      </c>
      <c r="B416" s="3" t="s">
        <v>117</v>
      </c>
      <c r="C416" s="13"/>
      <c r="D416" s="3" t="s">
        <v>34</v>
      </c>
      <c r="E416" s="3" t="s">
        <v>657</v>
      </c>
      <c r="F416" s="14"/>
      <c r="G416" s="14"/>
      <c r="H416" s="14">
        <v>0</v>
      </c>
    </row>
    <row r="417" spans="1:8" x14ac:dyDescent="0.25">
      <c r="A417" t="s">
        <v>116</v>
      </c>
      <c r="B417" t="s">
        <v>117</v>
      </c>
      <c r="C417" s="6">
        <v>45777</v>
      </c>
      <c r="D417" t="s">
        <v>560</v>
      </c>
      <c r="E417" t="s">
        <v>234</v>
      </c>
      <c r="F417" s="7">
        <v>1000</v>
      </c>
      <c r="G417" s="7"/>
      <c r="H417" s="7">
        <v>1000</v>
      </c>
    </row>
    <row r="418" spans="1:8" x14ac:dyDescent="0.25">
      <c r="A418" t="s">
        <v>116</v>
      </c>
      <c r="B418" t="s">
        <v>117</v>
      </c>
      <c r="C418" s="6">
        <v>45808</v>
      </c>
      <c r="D418" t="s">
        <v>569</v>
      </c>
      <c r="E418" t="s">
        <v>268</v>
      </c>
      <c r="F418" s="7">
        <v>1000</v>
      </c>
      <c r="G418" s="7"/>
      <c r="H418" s="7">
        <v>2000</v>
      </c>
    </row>
    <row r="419" spans="1:8" x14ac:dyDescent="0.25">
      <c r="A419" t="s">
        <v>116</v>
      </c>
      <c r="B419" t="s">
        <v>117</v>
      </c>
      <c r="C419" s="6">
        <v>46063</v>
      </c>
      <c r="D419" t="s">
        <v>635</v>
      </c>
      <c r="E419" t="s">
        <v>484</v>
      </c>
      <c r="F419" s="7">
        <v>2500</v>
      </c>
      <c r="G419" s="7"/>
      <c r="H419" s="7">
        <v>4500</v>
      </c>
    </row>
    <row r="420" spans="1:8" s="15" customFormat="1" x14ac:dyDescent="0.25">
      <c r="A420" s="15" t="s">
        <v>34</v>
      </c>
      <c r="B420" s="15" t="s">
        <v>690</v>
      </c>
      <c r="C420" s="16"/>
      <c r="D420" s="15" t="s">
        <v>34</v>
      </c>
      <c r="E420" s="15" t="s">
        <v>34</v>
      </c>
      <c r="F420" s="17">
        <v>4500</v>
      </c>
      <c r="G420" s="17">
        <v>0</v>
      </c>
      <c r="H420" s="17">
        <v>4500</v>
      </c>
    </row>
    <row r="422" spans="1:8" s="3" customFormat="1" x14ac:dyDescent="0.25">
      <c r="A422" s="3" t="s">
        <v>118</v>
      </c>
      <c r="B422" s="3" t="s">
        <v>119</v>
      </c>
      <c r="C422" s="13"/>
      <c r="D422" s="3" t="s">
        <v>34</v>
      </c>
      <c r="E422" s="3" t="s">
        <v>657</v>
      </c>
      <c r="F422" s="14"/>
      <c r="G422" s="14"/>
      <c r="H422" s="14">
        <v>0</v>
      </c>
    </row>
    <row r="423" spans="1:8" x14ac:dyDescent="0.25">
      <c r="A423" t="s">
        <v>118</v>
      </c>
      <c r="B423" t="s">
        <v>119</v>
      </c>
      <c r="C423" s="6">
        <v>45915</v>
      </c>
      <c r="D423" t="s">
        <v>597</v>
      </c>
      <c r="E423" t="s">
        <v>363</v>
      </c>
      <c r="F423" s="7">
        <v>39300</v>
      </c>
      <c r="G423" s="7"/>
      <c r="H423" s="7">
        <v>39300</v>
      </c>
    </row>
    <row r="424" spans="1:8" x14ac:dyDescent="0.25">
      <c r="A424" t="s">
        <v>118</v>
      </c>
      <c r="B424" t="s">
        <v>119</v>
      </c>
      <c r="C424" s="6">
        <v>46006</v>
      </c>
      <c r="D424" t="s">
        <v>621</v>
      </c>
      <c r="E424" t="s">
        <v>439</v>
      </c>
      <c r="F424" s="7">
        <v>19200</v>
      </c>
      <c r="G424" s="7"/>
      <c r="H424" s="7">
        <v>58500</v>
      </c>
    </row>
    <row r="425" spans="1:8" x14ac:dyDescent="0.25">
      <c r="A425" t="s">
        <v>118</v>
      </c>
      <c r="B425" t="s">
        <v>119</v>
      </c>
      <c r="C425" s="6">
        <v>46096</v>
      </c>
      <c r="D425" t="s">
        <v>647</v>
      </c>
      <c r="E425" t="s">
        <v>439</v>
      </c>
      <c r="F425" s="7">
        <v>15500</v>
      </c>
      <c r="G425" s="7"/>
      <c r="H425" s="7">
        <v>74000</v>
      </c>
    </row>
    <row r="426" spans="1:8" x14ac:dyDescent="0.25">
      <c r="A426" t="s">
        <v>118</v>
      </c>
      <c r="B426" t="s">
        <v>119</v>
      </c>
      <c r="C426" s="6">
        <v>46112</v>
      </c>
      <c r="D426" t="s">
        <v>649</v>
      </c>
      <c r="E426" t="s">
        <v>526</v>
      </c>
      <c r="F426" s="7">
        <v>3200</v>
      </c>
      <c r="G426" s="7"/>
      <c r="H426" s="7">
        <v>77200</v>
      </c>
    </row>
    <row r="427" spans="1:8" s="15" customFormat="1" x14ac:dyDescent="0.25">
      <c r="A427" s="15" t="s">
        <v>34</v>
      </c>
      <c r="B427" s="15" t="s">
        <v>691</v>
      </c>
      <c r="C427" s="16"/>
      <c r="D427" s="15" t="s">
        <v>34</v>
      </c>
      <c r="E427" s="15" t="s">
        <v>34</v>
      </c>
      <c r="F427" s="17">
        <v>77200</v>
      </c>
      <c r="G427" s="17">
        <v>0</v>
      </c>
      <c r="H427" s="17">
        <v>77200</v>
      </c>
    </row>
    <row r="429" spans="1:8" s="3" customFormat="1" x14ac:dyDescent="0.25">
      <c r="A429" s="3" t="s">
        <v>121</v>
      </c>
      <c r="B429" s="3" t="s">
        <v>122</v>
      </c>
      <c r="C429" s="13"/>
      <c r="D429" s="3" t="s">
        <v>34</v>
      </c>
      <c r="E429" s="3" t="s">
        <v>657</v>
      </c>
      <c r="F429" s="14"/>
      <c r="G429" s="14"/>
      <c r="H429" s="14">
        <v>0</v>
      </c>
    </row>
    <row r="430" spans="1:8" x14ac:dyDescent="0.25">
      <c r="A430" t="s">
        <v>121</v>
      </c>
      <c r="B430" t="s">
        <v>122</v>
      </c>
      <c r="C430" s="6">
        <v>45889</v>
      </c>
      <c r="D430" t="s">
        <v>592</v>
      </c>
      <c r="E430" t="s">
        <v>345</v>
      </c>
      <c r="F430" s="7">
        <v>12000</v>
      </c>
      <c r="G430" s="7"/>
      <c r="H430" s="7">
        <v>12000</v>
      </c>
    </row>
    <row r="431" spans="1:8" s="15" customFormat="1" x14ac:dyDescent="0.25">
      <c r="A431" s="15" t="s">
        <v>34</v>
      </c>
      <c r="B431" s="15" t="s">
        <v>692</v>
      </c>
      <c r="C431" s="16"/>
      <c r="D431" s="15" t="s">
        <v>34</v>
      </c>
      <c r="E431" s="15" t="s">
        <v>34</v>
      </c>
      <c r="F431" s="17">
        <v>12000</v>
      </c>
      <c r="G431" s="17">
        <v>0</v>
      </c>
      <c r="H431" s="17">
        <v>12000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56" customWidth="1"/>
    <col min="3" max="4" width="20" style="7" customWidth="1"/>
  </cols>
  <sheetData>
    <row r="1" spans="1:4" s="1" customFormat="1" x14ac:dyDescent="0.25">
      <c r="A1" s="8" t="s">
        <v>693</v>
      </c>
      <c r="B1" s="8"/>
      <c r="C1" s="8"/>
      <c r="D1" s="8"/>
    </row>
    <row r="2" spans="1:4" s="2" customFormat="1" x14ac:dyDescent="0.25">
      <c r="A2" s="2" t="s">
        <v>1</v>
      </c>
      <c r="C2" s="10"/>
      <c r="D2" s="10"/>
    </row>
    <row r="4" spans="1:4" s="5" customFormat="1" x14ac:dyDescent="0.25">
      <c r="A4" s="5" t="s">
        <v>694</v>
      </c>
      <c r="B4" s="5" t="s">
        <v>24</v>
      </c>
      <c r="C4" s="12" t="s">
        <v>540</v>
      </c>
      <c r="D4" s="12" t="s">
        <v>541</v>
      </c>
    </row>
    <row r="5" spans="1:4" x14ac:dyDescent="0.25">
      <c r="A5" t="s">
        <v>29</v>
      </c>
      <c r="B5" t="s">
        <v>30</v>
      </c>
      <c r="C5" s="7">
        <v>120540</v>
      </c>
      <c r="D5" s="7"/>
    </row>
    <row r="6" spans="1:4" x14ac:dyDescent="0.25">
      <c r="A6" t="s">
        <v>35</v>
      </c>
      <c r="B6" t="s">
        <v>36</v>
      </c>
      <c r="C6" s="7">
        <v>1589510</v>
      </c>
      <c r="D6" s="7"/>
    </row>
    <row r="7" spans="1:4" x14ac:dyDescent="0.25">
      <c r="A7" t="s">
        <v>37</v>
      </c>
      <c r="B7" t="s">
        <v>38</v>
      </c>
      <c r="C7" s="7">
        <v>1434450</v>
      </c>
      <c r="D7" s="7"/>
    </row>
    <row r="8" spans="1:4" x14ac:dyDescent="0.25">
      <c r="A8" t="s">
        <v>39</v>
      </c>
      <c r="B8" t="s">
        <v>40</v>
      </c>
      <c r="C8" s="7">
        <v>277200</v>
      </c>
      <c r="D8" s="7"/>
    </row>
    <row r="9" spans="1:4" x14ac:dyDescent="0.25">
      <c r="A9" t="s">
        <v>42</v>
      </c>
      <c r="B9" t="s">
        <v>43</v>
      </c>
      <c r="C9" s="7">
        <v>2100</v>
      </c>
      <c r="D9" s="7"/>
    </row>
    <row r="10" spans="1:4" x14ac:dyDescent="0.25">
      <c r="A10" t="s">
        <v>44</v>
      </c>
      <c r="B10" t="s">
        <v>45</v>
      </c>
      <c r="C10" s="7">
        <v>193957.64</v>
      </c>
      <c r="D10" s="7"/>
    </row>
    <row r="11" spans="1:4" x14ac:dyDescent="0.25">
      <c r="A11" t="s">
        <v>46</v>
      </c>
      <c r="B11" t="s">
        <v>47</v>
      </c>
      <c r="C11" s="7">
        <v>66000</v>
      </c>
      <c r="D11" s="7"/>
    </row>
    <row r="12" spans="1:4" x14ac:dyDescent="0.25">
      <c r="A12" t="s">
        <v>49</v>
      </c>
      <c r="B12" t="s">
        <v>50</v>
      </c>
      <c r="C12" s="7">
        <v>21240</v>
      </c>
      <c r="D12" s="7"/>
    </row>
    <row r="13" spans="1:4" x14ac:dyDescent="0.25">
      <c r="A13" t="s">
        <v>52</v>
      </c>
      <c r="B13" t="s">
        <v>53</v>
      </c>
      <c r="C13" s="7">
        <v>100000</v>
      </c>
      <c r="D13" s="7"/>
    </row>
    <row r="14" spans="1:4" x14ac:dyDescent="0.25">
      <c r="A14" t="s">
        <v>55</v>
      </c>
      <c r="B14" t="s">
        <v>56</v>
      </c>
      <c r="C14" s="7">
        <v>150000</v>
      </c>
      <c r="D14" s="7"/>
    </row>
    <row r="15" spans="1:4" x14ac:dyDescent="0.25">
      <c r="A15" t="s">
        <v>58</v>
      </c>
      <c r="B15" t="s">
        <v>59</v>
      </c>
      <c r="C15" s="7"/>
      <c r="D15" s="7">
        <v>13923.29</v>
      </c>
    </row>
    <row r="16" spans="1:4" x14ac:dyDescent="0.25">
      <c r="A16" t="s">
        <v>62</v>
      </c>
      <c r="B16" t="s">
        <v>63</v>
      </c>
      <c r="C16" s="7">
        <v>120000</v>
      </c>
      <c r="D16" s="7"/>
    </row>
    <row r="17" spans="1:4" x14ac:dyDescent="0.25">
      <c r="A17" t="s">
        <v>64</v>
      </c>
      <c r="B17" t="s">
        <v>65</v>
      </c>
      <c r="C17" s="7"/>
      <c r="D17" s="7">
        <v>37687.66</v>
      </c>
    </row>
    <row r="18" spans="1:4" x14ac:dyDescent="0.25">
      <c r="A18" t="s">
        <v>66</v>
      </c>
      <c r="B18" t="s">
        <v>67</v>
      </c>
      <c r="C18" s="7">
        <v>500000</v>
      </c>
      <c r="D18" s="7"/>
    </row>
    <row r="19" spans="1:4" x14ac:dyDescent="0.25">
      <c r="A19" t="s">
        <v>68</v>
      </c>
      <c r="B19" t="s">
        <v>69</v>
      </c>
      <c r="C19" s="7"/>
      <c r="D19" s="7">
        <v>51780.83</v>
      </c>
    </row>
    <row r="20" spans="1:4" x14ac:dyDescent="0.25">
      <c r="A20" t="s">
        <v>70</v>
      </c>
      <c r="B20" t="s">
        <v>71</v>
      </c>
      <c r="C20" s="7"/>
      <c r="D20" s="7">
        <v>139240</v>
      </c>
    </row>
    <row r="21" spans="1:4" x14ac:dyDescent="0.25">
      <c r="A21" t="s">
        <v>74</v>
      </c>
      <c r="B21" t="s">
        <v>75</v>
      </c>
      <c r="C21" s="7"/>
      <c r="D21" s="7">
        <v>37000</v>
      </c>
    </row>
    <row r="22" spans="1:4" x14ac:dyDescent="0.25">
      <c r="A22" t="s">
        <v>76</v>
      </c>
      <c r="B22" t="s">
        <v>77</v>
      </c>
      <c r="C22" s="7"/>
      <c r="D22" s="7">
        <v>500000</v>
      </c>
    </row>
    <row r="23" spans="1:4" x14ac:dyDescent="0.25">
      <c r="A23" t="s">
        <v>78</v>
      </c>
      <c r="B23" t="s">
        <v>79</v>
      </c>
      <c r="C23" s="7"/>
      <c r="D23" s="7">
        <v>29700</v>
      </c>
    </row>
    <row r="24" spans="1:4" x14ac:dyDescent="0.25">
      <c r="A24" t="s">
        <v>80</v>
      </c>
      <c r="B24" t="s">
        <v>81</v>
      </c>
      <c r="C24" s="7"/>
      <c r="D24" s="7">
        <v>12000</v>
      </c>
    </row>
    <row r="25" spans="1:4" x14ac:dyDescent="0.25">
      <c r="A25" t="s">
        <v>83</v>
      </c>
      <c r="B25" t="s">
        <v>84</v>
      </c>
      <c r="C25" s="7"/>
      <c r="D25" s="7">
        <v>3200</v>
      </c>
    </row>
    <row r="26" spans="1:4" x14ac:dyDescent="0.25">
      <c r="A26" t="s">
        <v>85</v>
      </c>
      <c r="B26" t="s">
        <v>86</v>
      </c>
      <c r="C26" s="7"/>
      <c r="D26" s="7">
        <v>3100000</v>
      </c>
    </row>
    <row r="27" spans="1:4" x14ac:dyDescent="0.25">
      <c r="A27" t="s">
        <v>93</v>
      </c>
      <c r="B27" t="s">
        <v>94</v>
      </c>
      <c r="C27" s="7"/>
      <c r="D27" s="7">
        <v>3685000</v>
      </c>
    </row>
    <row r="28" spans="1:4" x14ac:dyDescent="0.25">
      <c r="A28" t="s">
        <v>97</v>
      </c>
      <c r="B28" t="s">
        <v>98</v>
      </c>
      <c r="C28" s="7"/>
      <c r="D28" s="7">
        <v>95000</v>
      </c>
    </row>
    <row r="29" spans="1:4" x14ac:dyDescent="0.25">
      <c r="A29" t="s">
        <v>99</v>
      </c>
      <c r="B29" t="s">
        <v>100</v>
      </c>
      <c r="C29" s="7"/>
      <c r="D29" s="7">
        <v>13100</v>
      </c>
    </row>
    <row r="30" spans="1:4" x14ac:dyDescent="0.25">
      <c r="A30" t="s">
        <v>101</v>
      </c>
      <c r="B30" t="s">
        <v>102</v>
      </c>
      <c r="C30" s="7">
        <v>2018042.36</v>
      </c>
      <c r="D30" s="7"/>
    </row>
    <row r="31" spans="1:4" x14ac:dyDescent="0.25">
      <c r="A31" t="s">
        <v>105</v>
      </c>
      <c r="B31" t="s">
        <v>106</v>
      </c>
      <c r="C31" s="7">
        <v>480000</v>
      </c>
      <c r="D31" s="7"/>
    </row>
    <row r="32" spans="1:4" x14ac:dyDescent="0.25">
      <c r="A32" t="s">
        <v>108</v>
      </c>
      <c r="B32" t="s">
        <v>109</v>
      </c>
      <c r="C32" s="7">
        <v>264000</v>
      </c>
      <c r="D32" s="7"/>
    </row>
    <row r="33" spans="1:4" x14ac:dyDescent="0.25">
      <c r="A33" t="s">
        <v>110</v>
      </c>
      <c r="B33" t="s">
        <v>111</v>
      </c>
      <c r="C33" s="7">
        <v>58500</v>
      </c>
      <c r="D33" s="7"/>
    </row>
    <row r="34" spans="1:4" x14ac:dyDescent="0.25">
      <c r="A34" t="s">
        <v>112</v>
      </c>
      <c r="B34" t="s">
        <v>113</v>
      </c>
      <c r="C34" s="7">
        <v>125000</v>
      </c>
      <c r="D34" s="7"/>
    </row>
    <row r="35" spans="1:4" x14ac:dyDescent="0.25">
      <c r="A35" t="s">
        <v>114</v>
      </c>
      <c r="B35" t="s">
        <v>115</v>
      </c>
      <c r="C35" s="7">
        <v>103391.78</v>
      </c>
      <c r="D35" s="7"/>
    </row>
    <row r="36" spans="1:4" x14ac:dyDescent="0.25">
      <c r="A36" t="s">
        <v>116</v>
      </c>
      <c r="B36" t="s">
        <v>117</v>
      </c>
      <c r="C36" s="7">
        <v>4500</v>
      </c>
      <c r="D36" s="7"/>
    </row>
    <row r="37" spans="1:4" x14ac:dyDescent="0.25">
      <c r="A37" t="s">
        <v>118</v>
      </c>
      <c r="B37" t="s">
        <v>119</v>
      </c>
      <c r="C37" s="7">
        <v>77200</v>
      </c>
      <c r="D37" s="7"/>
    </row>
    <row r="38" spans="1:4" x14ac:dyDescent="0.25">
      <c r="A38" t="s">
        <v>121</v>
      </c>
      <c r="B38" t="s">
        <v>122</v>
      </c>
      <c r="C38" s="7">
        <v>12000</v>
      </c>
      <c r="D38" s="7"/>
    </row>
    <row r="39" spans="1:4" s="15" customFormat="1" x14ac:dyDescent="0.25">
      <c r="A39" s="15" t="s">
        <v>34</v>
      </c>
      <c r="B39" s="15" t="s">
        <v>653</v>
      </c>
      <c r="C39" s="17">
        <f>SUM(C5:C38)</f>
        <v>7717631.78</v>
      </c>
      <c r="D39" s="17">
        <f>SUM(D5:D38)</f>
        <v>7717631.78</v>
      </c>
    </row>
    <row r="40" spans="1:4" s="3" customFormat="1" x14ac:dyDescent="0.25">
      <c r="A40" s="3" t="s">
        <v>34</v>
      </c>
      <c r="B40" s="3" t="s">
        <v>695</v>
      </c>
      <c r="C40" s="14">
        <f>C39-D39</f>
        <v>0</v>
      </c>
      <c r="D40" s="14"/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70" customWidth="1"/>
    <col min="3" max="3" width="20" style="7" customWidth="1"/>
  </cols>
  <sheetData>
    <row r="1" spans="1:3" s="1" customFormat="1" x14ac:dyDescent="0.25">
      <c r="A1" s="8" t="s">
        <v>696</v>
      </c>
      <c r="B1" s="8"/>
      <c r="C1" s="8"/>
    </row>
    <row r="2" spans="1:3" s="2" customFormat="1" x14ac:dyDescent="0.25">
      <c r="A2" s="2" t="s">
        <v>1</v>
      </c>
      <c r="C2" s="10"/>
    </row>
    <row r="4" spans="1:3" s="5" customFormat="1" x14ac:dyDescent="0.25">
      <c r="A4" s="5" t="s">
        <v>694</v>
      </c>
      <c r="B4" s="5" t="s">
        <v>697</v>
      </c>
      <c r="C4" s="12" t="s">
        <v>698</v>
      </c>
    </row>
    <row r="5" spans="1:3" s="18" customFormat="1" x14ac:dyDescent="0.25">
      <c r="A5" s="18" t="s">
        <v>34</v>
      </c>
      <c r="B5" s="18" t="s">
        <v>699</v>
      </c>
      <c r="C5" s="19"/>
    </row>
    <row r="6" spans="1:3" x14ac:dyDescent="0.25">
      <c r="A6" t="s">
        <v>93</v>
      </c>
      <c r="B6" t="s">
        <v>94</v>
      </c>
      <c r="C6" s="7">
        <v>3685000</v>
      </c>
    </row>
    <row r="7" spans="1:3" x14ac:dyDescent="0.25">
      <c r="A7" t="s">
        <v>97</v>
      </c>
      <c r="B7" t="s">
        <v>98</v>
      </c>
      <c r="C7" s="7">
        <v>95000</v>
      </c>
    </row>
    <row r="8" spans="1:3" x14ac:dyDescent="0.25">
      <c r="A8" t="s">
        <v>99</v>
      </c>
      <c r="B8" t="s">
        <v>100</v>
      </c>
      <c r="C8" s="7">
        <v>13100</v>
      </c>
    </row>
    <row r="9" spans="1:3" s="15" customFormat="1" x14ac:dyDescent="0.25">
      <c r="A9" s="15" t="s">
        <v>34</v>
      </c>
      <c r="B9" s="15" t="s">
        <v>700</v>
      </c>
      <c r="C9" s="17">
        <v>3793100</v>
      </c>
    </row>
    <row r="10" spans="1:3" s="18" customFormat="1" x14ac:dyDescent="0.25">
      <c r="A10" s="18" t="s">
        <v>34</v>
      </c>
      <c r="B10" s="18" t="s">
        <v>701</v>
      </c>
      <c r="C10" s="19"/>
    </row>
    <row r="11" spans="1:3" x14ac:dyDescent="0.25">
      <c r="A11" t="s">
        <v>101</v>
      </c>
      <c r="B11" t="s">
        <v>102</v>
      </c>
      <c r="C11" s="7">
        <v>2018042.36</v>
      </c>
    </row>
    <row r="12" spans="1:3" s="15" customFormat="1" x14ac:dyDescent="0.25">
      <c r="A12" s="15" t="s">
        <v>34</v>
      </c>
      <c r="B12" s="15" t="s">
        <v>702</v>
      </c>
      <c r="C12" s="17">
        <v>1761957.64</v>
      </c>
    </row>
    <row r="13" spans="1:3" s="18" customFormat="1" x14ac:dyDescent="0.25">
      <c r="A13" s="18" t="s">
        <v>34</v>
      </c>
      <c r="B13" s="18" t="s">
        <v>703</v>
      </c>
      <c r="C13" s="19"/>
    </row>
    <row r="14" spans="1:3" x14ac:dyDescent="0.25">
      <c r="A14" t="s">
        <v>105</v>
      </c>
      <c r="B14" t="s">
        <v>106</v>
      </c>
      <c r="C14" s="7">
        <v>480000</v>
      </c>
    </row>
    <row r="15" spans="1:3" x14ac:dyDescent="0.25">
      <c r="A15" t="s">
        <v>108</v>
      </c>
      <c r="B15" t="s">
        <v>109</v>
      </c>
      <c r="C15" s="7">
        <v>264000</v>
      </c>
    </row>
    <row r="16" spans="1:3" x14ac:dyDescent="0.25">
      <c r="A16" t="s">
        <v>110</v>
      </c>
      <c r="B16" t="s">
        <v>111</v>
      </c>
      <c r="C16" s="7">
        <v>58500</v>
      </c>
    </row>
    <row r="17" spans="1:3" x14ac:dyDescent="0.25">
      <c r="A17" t="s">
        <v>112</v>
      </c>
      <c r="B17" t="s">
        <v>113</v>
      </c>
      <c r="C17" s="7">
        <v>125000</v>
      </c>
    </row>
    <row r="18" spans="1:3" x14ac:dyDescent="0.25">
      <c r="A18" t="s">
        <v>116</v>
      </c>
      <c r="B18" t="s">
        <v>117</v>
      </c>
      <c r="C18" s="7">
        <v>4500</v>
      </c>
    </row>
    <row r="19" spans="1:3" x14ac:dyDescent="0.25">
      <c r="A19" t="s">
        <v>121</v>
      </c>
      <c r="B19" t="s">
        <v>122</v>
      </c>
      <c r="C19" s="7">
        <v>12000</v>
      </c>
    </row>
    <row r="20" spans="1:3" s="15" customFormat="1" x14ac:dyDescent="0.25">
      <c r="A20" s="15" t="s">
        <v>34</v>
      </c>
      <c r="B20" s="15" t="s">
        <v>704</v>
      </c>
      <c r="C20" s="17">
        <v>944000</v>
      </c>
    </row>
    <row r="21" spans="1:3" s="18" customFormat="1" x14ac:dyDescent="0.25">
      <c r="A21" s="18" t="s">
        <v>34</v>
      </c>
      <c r="B21" s="18" t="s">
        <v>705</v>
      </c>
      <c r="C21" s="19"/>
    </row>
    <row r="22" spans="1:3" x14ac:dyDescent="0.25">
      <c r="A22" t="s">
        <v>114</v>
      </c>
      <c r="B22" t="s">
        <v>115</v>
      </c>
      <c r="C22" s="7">
        <v>103391.78</v>
      </c>
    </row>
    <row r="23" spans="1:3" x14ac:dyDescent="0.25">
      <c r="A23" t="s">
        <v>118</v>
      </c>
      <c r="B23" t="s">
        <v>119</v>
      </c>
      <c r="C23" s="7">
        <v>77200</v>
      </c>
    </row>
    <row r="24" spans="1:3" s="15" customFormat="1" x14ac:dyDescent="0.25">
      <c r="A24" s="15" t="s">
        <v>34</v>
      </c>
      <c r="B24" s="15" t="s">
        <v>706</v>
      </c>
      <c r="C24" s="17">
        <v>3142634.14</v>
      </c>
    </row>
    <row r="25" spans="1:3" s="20" customFormat="1" x14ac:dyDescent="0.25">
      <c r="A25" s="20" t="s">
        <v>34</v>
      </c>
      <c r="B25" s="20" t="s">
        <v>707</v>
      </c>
      <c r="C25" s="21">
        <v>650465.86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70" customWidth="1"/>
    <col min="3" max="3" width="20" style="7" customWidth="1"/>
  </cols>
  <sheetData>
    <row r="1" spans="1:3" s="1" customFormat="1" x14ac:dyDescent="0.25">
      <c r="A1" s="8" t="s">
        <v>708</v>
      </c>
      <c r="B1" s="8"/>
      <c r="C1" s="8"/>
    </row>
    <row r="2" spans="1:3" s="2" customFormat="1" x14ac:dyDescent="0.25">
      <c r="A2" s="2" t="s">
        <v>1</v>
      </c>
      <c r="C2" s="10"/>
    </row>
    <row r="4" spans="1:3" s="5" customFormat="1" x14ac:dyDescent="0.25">
      <c r="A4" s="5" t="s">
        <v>694</v>
      </c>
      <c r="B4" s="5" t="s">
        <v>697</v>
      </c>
      <c r="C4" s="12" t="s">
        <v>698</v>
      </c>
    </row>
    <row r="5" spans="1:3" s="18" customFormat="1" x14ac:dyDescent="0.25">
      <c r="A5" s="18" t="s">
        <v>34</v>
      </c>
      <c r="B5" s="18" t="s">
        <v>709</v>
      </c>
      <c r="C5" s="19"/>
    </row>
    <row r="6" spans="1:3" s="18" customFormat="1" x14ac:dyDescent="0.25">
      <c r="A6" s="18" t="s">
        <v>34</v>
      </c>
      <c r="B6" s="18" t="s">
        <v>710</v>
      </c>
      <c r="C6" s="19"/>
    </row>
    <row r="7" spans="1:3" x14ac:dyDescent="0.25">
      <c r="A7" t="s">
        <v>29</v>
      </c>
      <c r="B7" t="s">
        <v>30</v>
      </c>
      <c r="C7" s="7">
        <v>120540</v>
      </c>
    </row>
    <row r="8" spans="1:3" x14ac:dyDescent="0.25">
      <c r="A8" t="s">
        <v>35</v>
      </c>
      <c r="B8" t="s">
        <v>36</v>
      </c>
      <c r="C8" s="7">
        <v>1589510</v>
      </c>
    </row>
    <row r="9" spans="1:3" x14ac:dyDescent="0.25">
      <c r="A9" t="s">
        <v>37</v>
      </c>
      <c r="B9" t="s">
        <v>38</v>
      </c>
      <c r="C9" s="7">
        <v>1434450</v>
      </c>
    </row>
    <row r="10" spans="1:3" x14ac:dyDescent="0.25">
      <c r="A10" t="s">
        <v>39</v>
      </c>
      <c r="B10" t="s">
        <v>40</v>
      </c>
      <c r="C10" s="7">
        <v>277200</v>
      </c>
    </row>
    <row r="11" spans="1:3" x14ac:dyDescent="0.25">
      <c r="A11" t="s">
        <v>42</v>
      </c>
      <c r="B11" t="s">
        <v>43</v>
      </c>
      <c r="C11" s="7">
        <v>2100</v>
      </c>
    </row>
    <row r="12" spans="1:3" x14ac:dyDescent="0.25">
      <c r="A12" t="s">
        <v>44</v>
      </c>
      <c r="B12" t="s">
        <v>45</v>
      </c>
      <c r="C12" s="7">
        <v>193957.64</v>
      </c>
    </row>
    <row r="13" spans="1:3" x14ac:dyDescent="0.25">
      <c r="A13" t="s">
        <v>46</v>
      </c>
      <c r="B13" t="s">
        <v>47</v>
      </c>
      <c r="C13" s="7">
        <v>66000</v>
      </c>
    </row>
    <row r="14" spans="1:3" x14ac:dyDescent="0.25">
      <c r="A14" t="s">
        <v>49</v>
      </c>
      <c r="B14" t="s">
        <v>50</v>
      </c>
      <c r="C14" s="7">
        <v>21240</v>
      </c>
    </row>
    <row r="15" spans="1:3" s="15" customFormat="1" x14ac:dyDescent="0.25">
      <c r="A15" s="15" t="s">
        <v>34</v>
      </c>
      <c r="B15" s="15" t="s">
        <v>711</v>
      </c>
      <c r="C15" s="17">
        <v>3704997.64</v>
      </c>
    </row>
    <row r="16" spans="1:3" s="18" customFormat="1" x14ac:dyDescent="0.25">
      <c r="A16" s="18" t="s">
        <v>34</v>
      </c>
      <c r="B16" s="18" t="s">
        <v>712</v>
      </c>
      <c r="C16" s="19"/>
    </row>
    <row r="17" spans="1:3" x14ac:dyDescent="0.25">
      <c r="A17" t="s">
        <v>52</v>
      </c>
      <c r="B17" t="s">
        <v>53</v>
      </c>
      <c r="C17" s="7">
        <v>100000</v>
      </c>
    </row>
    <row r="18" spans="1:3" s="15" customFormat="1" x14ac:dyDescent="0.25">
      <c r="A18" s="15" t="s">
        <v>34</v>
      </c>
      <c r="B18" s="15" t="s">
        <v>713</v>
      </c>
      <c r="C18" s="17">
        <v>100000</v>
      </c>
    </row>
    <row r="19" spans="1:3" s="18" customFormat="1" x14ac:dyDescent="0.25">
      <c r="A19" s="18" t="s">
        <v>34</v>
      </c>
      <c r="B19" s="18" t="s">
        <v>714</v>
      </c>
      <c r="C19" s="19"/>
    </row>
    <row r="20" spans="1:3" x14ac:dyDescent="0.25">
      <c r="A20" t="s">
        <v>55</v>
      </c>
      <c r="B20" t="s">
        <v>56</v>
      </c>
      <c r="C20" s="7">
        <v>150000</v>
      </c>
    </row>
    <row r="21" spans="1:3" x14ac:dyDescent="0.25">
      <c r="A21" t="s">
        <v>62</v>
      </c>
      <c r="B21" t="s">
        <v>63</v>
      </c>
      <c r="C21" s="7">
        <v>120000</v>
      </c>
    </row>
    <row r="22" spans="1:3" x14ac:dyDescent="0.25">
      <c r="A22" t="s">
        <v>66</v>
      </c>
      <c r="B22" t="s">
        <v>67</v>
      </c>
      <c r="C22" s="7">
        <v>500000</v>
      </c>
    </row>
    <row r="23" spans="1:3" s="15" customFormat="1" x14ac:dyDescent="0.25">
      <c r="A23" s="15" t="s">
        <v>34</v>
      </c>
      <c r="B23" s="15" t="s">
        <v>715</v>
      </c>
      <c r="C23" s="17">
        <v>770000</v>
      </c>
    </row>
    <row r="24" spans="1:3" x14ac:dyDescent="0.25">
      <c r="A24" t="s">
        <v>58</v>
      </c>
      <c r="B24" t="s">
        <v>59</v>
      </c>
      <c r="C24" s="7">
        <v>-13923.29</v>
      </c>
    </row>
    <row r="25" spans="1:3" x14ac:dyDescent="0.25">
      <c r="A25" t="s">
        <v>64</v>
      </c>
      <c r="B25" t="s">
        <v>65</v>
      </c>
      <c r="C25" s="7">
        <v>-37687.66</v>
      </c>
    </row>
    <row r="26" spans="1:3" x14ac:dyDescent="0.25">
      <c r="A26" t="s">
        <v>68</v>
      </c>
      <c r="B26" t="s">
        <v>69</v>
      </c>
      <c r="C26" s="7">
        <v>-51780.83</v>
      </c>
    </row>
    <row r="27" spans="1:3" s="15" customFormat="1" x14ac:dyDescent="0.25">
      <c r="A27" s="15" t="s">
        <v>34</v>
      </c>
      <c r="B27" s="15" t="s">
        <v>716</v>
      </c>
      <c r="C27" s="17">
        <v>666608.22</v>
      </c>
    </row>
    <row r="28" spans="1:3" s="20" customFormat="1" x14ac:dyDescent="0.25">
      <c r="A28" s="20" t="s">
        <v>34</v>
      </c>
      <c r="B28" s="20" t="s">
        <v>717</v>
      </c>
      <c r="C28" s="21">
        <v>4471605.86</v>
      </c>
    </row>
    <row r="29" spans="1:3" s="18" customFormat="1" x14ac:dyDescent="0.25">
      <c r="A29" s="18" t="s">
        <v>34</v>
      </c>
      <c r="B29" s="18" t="s">
        <v>718</v>
      </c>
      <c r="C29" s="19"/>
    </row>
    <row r="30" spans="1:3" s="18" customFormat="1" x14ac:dyDescent="0.25">
      <c r="A30" s="18" t="s">
        <v>34</v>
      </c>
      <c r="B30" s="18" t="s">
        <v>719</v>
      </c>
      <c r="C30" s="19"/>
    </row>
    <row r="31" spans="1:3" x14ac:dyDescent="0.25">
      <c r="A31" t="s">
        <v>70</v>
      </c>
      <c r="B31" t="s">
        <v>71</v>
      </c>
      <c r="C31" s="7">
        <v>139240</v>
      </c>
    </row>
    <row r="32" spans="1:3" x14ac:dyDescent="0.25">
      <c r="A32" t="s">
        <v>74</v>
      </c>
      <c r="B32" t="s">
        <v>75</v>
      </c>
      <c r="C32" s="7">
        <v>37000</v>
      </c>
    </row>
    <row r="33" spans="1:3" x14ac:dyDescent="0.25">
      <c r="A33" t="s">
        <v>78</v>
      </c>
      <c r="B33" t="s">
        <v>79</v>
      </c>
      <c r="C33" s="7">
        <v>29700</v>
      </c>
    </row>
    <row r="34" spans="1:3" x14ac:dyDescent="0.25">
      <c r="A34" t="s">
        <v>80</v>
      </c>
      <c r="B34" t="s">
        <v>81</v>
      </c>
      <c r="C34" s="7">
        <v>12000</v>
      </c>
    </row>
    <row r="35" spans="1:3" x14ac:dyDescent="0.25">
      <c r="A35" t="s">
        <v>83</v>
      </c>
      <c r="B35" t="s">
        <v>84</v>
      </c>
      <c r="C35" s="7">
        <v>3200</v>
      </c>
    </row>
    <row r="36" spans="1:3" s="15" customFormat="1" x14ac:dyDescent="0.25">
      <c r="A36" s="15" t="s">
        <v>34</v>
      </c>
      <c r="B36" s="15" t="s">
        <v>720</v>
      </c>
      <c r="C36" s="17">
        <v>221140</v>
      </c>
    </row>
    <row r="37" spans="1:3" s="18" customFormat="1" x14ac:dyDescent="0.25">
      <c r="A37" s="18" t="s">
        <v>34</v>
      </c>
      <c r="B37" s="18" t="s">
        <v>721</v>
      </c>
      <c r="C37" s="19"/>
    </row>
    <row r="38" spans="1:3" x14ac:dyDescent="0.25">
      <c r="A38" t="s">
        <v>76</v>
      </c>
      <c r="B38" t="s">
        <v>77</v>
      </c>
      <c r="C38" s="7">
        <v>500000</v>
      </c>
    </row>
    <row r="39" spans="1:3" s="15" customFormat="1" x14ac:dyDescent="0.25">
      <c r="A39" s="15" t="s">
        <v>34</v>
      </c>
      <c r="B39" s="15" t="s">
        <v>722</v>
      </c>
      <c r="C39" s="17">
        <v>500000</v>
      </c>
    </row>
    <row r="40" spans="1:3" s="20" customFormat="1" x14ac:dyDescent="0.25">
      <c r="A40" s="20" t="s">
        <v>34</v>
      </c>
      <c r="B40" s="20" t="s">
        <v>723</v>
      </c>
      <c r="C40" s="21">
        <v>721140</v>
      </c>
    </row>
    <row r="41" spans="1:3" s="18" customFormat="1" x14ac:dyDescent="0.25">
      <c r="A41" s="18" t="s">
        <v>34</v>
      </c>
      <c r="B41" s="18" t="s">
        <v>724</v>
      </c>
      <c r="C41" s="19"/>
    </row>
    <row r="42" spans="1:3" x14ac:dyDescent="0.25">
      <c r="A42" t="s">
        <v>85</v>
      </c>
      <c r="B42" t="s">
        <v>86</v>
      </c>
      <c r="C42" s="7">
        <v>3100000</v>
      </c>
    </row>
    <row r="43" spans="1:3" x14ac:dyDescent="0.25">
      <c r="A43" t="s">
        <v>89</v>
      </c>
      <c r="B43" t="s">
        <v>725</v>
      </c>
      <c r="C43" s="7">
        <v>0</v>
      </c>
    </row>
    <row r="44" spans="1:3" x14ac:dyDescent="0.25">
      <c r="A44" t="s">
        <v>91</v>
      </c>
      <c r="B44" t="s">
        <v>92</v>
      </c>
      <c r="C44" s="7">
        <v>650465.86</v>
      </c>
    </row>
    <row r="45" spans="1:3" s="20" customFormat="1" x14ac:dyDescent="0.25">
      <c r="A45" s="20" t="s">
        <v>34</v>
      </c>
      <c r="B45" s="20" t="s">
        <v>726</v>
      </c>
      <c r="C45" s="21">
        <v>3750465.86</v>
      </c>
    </row>
    <row r="46" spans="1:3" s="20" customFormat="1" x14ac:dyDescent="0.25">
      <c r="A46" s="20" t="s">
        <v>34</v>
      </c>
      <c r="B46" s="20" t="s">
        <v>727</v>
      </c>
      <c r="C46" s="21">
        <v>4471605.86</v>
      </c>
    </row>
    <row r="48" spans="1:3" s="22" customFormat="1" x14ac:dyDescent="0.25">
      <c r="A48" s="22" t="s">
        <v>34</v>
      </c>
      <c r="B48" s="22" t="s">
        <v>728</v>
      </c>
      <c r="C48" s="23">
        <f>C28-C40-C45</f>
        <v>0</v>
      </c>
    </row>
    <row r="49" spans="1:3" s="3" customFormat="1" x14ac:dyDescent="0.25">
      <c r="A49" s="3" t="s">
        <v>34</v>
      </c>
      <c r="B49" s="3" t="s">
        <v>729</v>
      </c>
      <c r="C49" s="14" t="s">
        <v>730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2" max="2" width="13" style="6" customWidth="1"/>
    <col min="3" max="3" width="20" customWidth="1"/>
    <col min="4" max="5" width="11" customWidth="1"/>
    <col min="6" max="6" width="14" style="7" customWidth="1"/>
    <col min="7" max="7" width="16" style="7" customWidth="1"/>
    <col min="8" max="8" width="13" customWidth="1"/>
    <col min="9" max="9" width="18" style="7" customWidth="1"/>
  </cols>
  <sheetData>
    <row r="1" spans="1:9" s="1" customFormat="1" x14ac:dyDescent="0.25">
      <c r="A1" s="8" t="s">
        <v>731</v>
      </c>
      <c r="B1" s="8"/>
      <c r="C1" s="8"/>
      <c r="D1" s="8"/>
      <c r="E1" s="8"/>
      <c r="F1" s="8"/>
      <c r="G1" s="8"/>
      <c r="H1" s="8"/>
      <c r="I1" s="8"/>
    </row>
    <row r="2" spans="1:9" s="2" customFormat="1" x14ac:dyDescent="0.25">
      <c r="A2" s="2" t="s">
        <v>1</v>
      </c>
      <c r="B2" s="9"/>
      <c r="F2" s="10"/>
      <c r="G2" s="10"/>
      <c r="I2" s="10"/>
    </row>
    <row r="4" spans="1:9" s="5" customFormat="1" x14ac:dyDescent="0.25">
      <c r="A4" s="5" t="s">
        <v>124</v>
      </c>
      <c r="B4" s="11" t="s">
        <v>125</v>
      </c>
      <c r="C4" s="5" t="s">
        <v>130</v>
      </c>
      <c r="D4" s="5" t="s">
        <v>732</v>
      </c>
      <c r="E4" s="5" t="s">
        <v>733</v>
      </c>
      <c r="F4" s="12" t="s">
        <v>734</v>
      </c>
      <c r="G4" s="12" t="s">
        <v>735</v>
      </c>
      <c r="H4" s="5" t="s">
        <v>736</v>
      </c>
      <c r="I4" s="12" t="s">
        <v>737</v>
      </c>
    </row>
    <row r="5" spans="1:9" x14ac:dyDescent="0.25">
      <c r="A5" t="s">
        <v>186</v>
      </c>
      <c r="B5" s="6">
        <v>45759</v>
      </c>
      <c r="C5" t="s">
        <v>192</v>
      </c>
      <c r="D5" t="s">
        <v>187</v>
      </c>
      <c r="E5">
        <v>1000</v>
      </c>
      <c r="F5" s="7">
        <v>280</v>
      </c>
      <c r="G5" s="7">
        <v>280000</v>
      </c>
      <c r="H5">
        <v>1000</v>
      </c>
      <c r="I5" s="7">
        <v>280000</v>
      </c>
    </row>
    <row r="6" spans="1:9" x14ac:dyDescent="0.25">
      <c r="A6" t="s">
        <v>193</v>
      </c>
      <c r="B6" s="6">
        <v>45761</v>
      </c>
      <c r="C6" t="s">
        <v>197</v>
      </c>
      <c r="D6" t="s">
        <v>187</v>
      </c>
      <c r="E6">
        <v>400</v>
      </c>
      <c r="F6" s="7">
        <v>900</v>
      </c>
      <c r="G6" s="7">
        <v>360000</v>
      </c>
      <c r="H6">
        <v>400</v>
      </c>
      <c r="I6" s="7">
        <v>360000</v>
      </c>
    </row>
    <row r="7" spans="1:9" x14ac:dyDescent="0.25">
      <c r="A7" t="s">
        <v>199</v>
      </c>
      <c r="B7" s="6">
        <v>45765</v>
      </c>
      <c r="C7" t="s">
        <v>203</v>
      </c>
      <c r="D7" t="s">
        <v>187</v>
      </c>
      <c r="E7">
        <v>500</v>
      </c>
      <c r="F7" s="7">
        <v>650</v>
      </c>
      <c r="G7" s="7">
        <v>325000</v>
      </c>
      <c r="H7">
        <v>500</v>
      </c>
      <c r="I7" s="7">
        <v>325000</v>
      </c>
    </row>
    <row r="8" spans="1:9" x14ac:dyDescent="0.25">
      <c r="A8" t="s">
        <v>204</v>
      </c>
      <c r="B8" s="6">
        <v>45767</v>
      </c>
      <c r="C8" t="s">
        <v>192</v>
      </c>
      <c r="D8" t="s">
        <v>205</v>
      </c>
      <c r="E8">
        <v>100</v>
      </c>
      <c r="F8" s="7">
        <v>280</v>
      </c>
      <c r="G8" s="7">
        <v>28000</v>
      </c>
      <c r="H8">
        <v>900</v>
      </c>
      <c r="I8" s="7">
        <v>252000</v>
      </c>
    </row>
    <row r="9" spans="1:9" x14ac:dyDescent="0.25">
      <c r="A9" t="s">
        <v>210</v>
      </c>
      <c r="B9" s="6">
        <v>45769</v>
      </c>
      <c r="C9" t="s">
        <v>197</v>
      </c>
      <c r="D9" t="s">
        <v>205</v>
      </c>
      <c r="E9">
        <v>60</v>
      </c>
      <c r="F9" s="7">
        <v>900</v>
      </c>
      <c r="G9" s="7">
        <v>54000</v>
      </c>
      <c r="H9">
        <v>340</v>
      </c>
      <c r="I9" s="7">
        <v>306000</v>
      </c>
    </row>
    <row r="10" spans="1:9" x14ac:dyDescent="0.25">
      <c r="A10" t="s">
        <v>214</v>
      </c>
      <c r="B10" s="6">
        <v>45772</v>
      </c>
      <c r="C10" t="s">
        <v>203</v>
      </c>
      <c r="D10" t="s">
        <v>205</v>
      </c>
      <c r="E10">
        <v>40</v>
      </c>
      <c r="F10" s="7">
        <v>650</v>
      </c>
      <c r="G10" s="7">
        <v>26000</v>
      </c>
      <c r="H10">
        <v>460</v>
      </c>
      <c r="I10" s="7">
        <v>299000</v>
      </c>
    </row>
    <row r="11" spans="1:9" x14ac:dyDescent="0.25">
      <c r="A11" t="s">
        <v>257</v>
      </c>
      <c r="B11" s="6">
        <v>45799</v>
      </c>
      <c r="C11" t="s">
        <v>192</v>
      </c>
      <c r="D11" t="s">
        <v>205</v>
      </c>
      <c r="E11">
        <v>150</v>
      </c>
      <c r="F11" s="7">
        <v>280</v>
      </c>
      <c r="G11" s="7">
        <v>42000</v>
      </c>
      <c r="H11">
        <v>750</v>
      </c>
      <c r="I11" s="7">
        <v>210000</v>
      </c>
    </row>
    <row r="12" spans="1:9" x14ac:dyDescent="0.25">
      <c r="A12" t="s">
        <v>261</v>
      </c>
      <c r="B12" s="6">
        <v>45802</v>
      </c>
      <c r="C12" t="s">
        <v>197</v>
      </c>
      <c r="D12" t="s">
        <v>205</v>
      </c>
      <c r="E12">
        <v>80</v>
      </c>
      <c r="F12" s="7">
        <v>900</v>
      </c>
      <c r="G12" s="7">
        <v>72000</v>
      </c>
      <c r="H12">
        <v>260</v>
      </c>
      <c r="I12" s="7">
        <v>234000</v>
      </c>
    </row>
    <row r="13" spans="1:9" x14ac:dyDescent="0.25">
      <c r="A13" t="s">
        <v>276</v>
      </c>
      <c r="B13" s="6">
        <v>45818</v>
      </c>
      <c r="C13" t="s">
        <v>192</v>
      </c>
      <c r="D13" t="s">
        <v>187</v>
      </c>
      <c r="E13">
        <v>500</v>
      </c>
      <c r="F13" s="7">
        <v>290</v>
      </c>
      <c r="G13" s="7">
        <v>145000</v>
      </c>
      <c r="H13">
        <v>1250</v>
      </c>
      <c r="I13" s="7">
        <v>355000</v>
      </c>
    </row>
    <row r="14" spans="1:9" x14ac:dyDescent="0.25">
      <c r="A14" t="s">
        <v>291</v>
      </c>
      <c r="B14" s="6">
        <v>45837</v>
      </c>
      <c r="C14" t="s">
        <v>203</v>
      </c>
      <c r="D14" t="s">
        <v>205</v>
      </c>
      <c r="E14">
        <v>30</v>
      </c>
      <c r="F14" s="7">
        <v>650</v>
      </c>
      <c r="G14" s="7">
        <v>19500</v>
      </c>
      <c r="H14">
        <v>430</v>
      </c>
      <c r="I14" s="7">
        <v>279500</v>
      </c>
    </row>
    <row r="15" spans="1:9" x14ac:dyDescent="0.25">
      <c r="A15" t="s">
        <v>312</v>
      </c>
      <c r="B15" s="6">
        <v>45848</v>
      </c>
      <c r="C15" t="s">
        <v>203</v>
      </c>
      <c r="D15" t="s">
        <v>205</v>
      </c>
      <c r="E15">
        <v>100</v>
      </c>
      <c r="F15" s="7">
        <v>650</v>
      </c>
      <c r="G15" s="7">
        <v>65000</v>
      </c>
      <c r="H15">
        <v>330</v>
      </c>
      <c r="I15" s="7">
        <v>214500</v>
      </c>
    </row>
    <row r="16" spans="1:9" x14ac:dyDescent="0.25">
      <c r="A16" t="s">
        <v>326</v>
      </c>
      <c r="B16" s="6">
        <v>45869</v>
      </c>
      <c r="C16" t="s">
        <v>192</v>
      </c>
      <c r="D16" t="s">
        <v>205</v>
      </c>
      <c r="E16">
        <v>200</v>
      </c>
      <c r="F16" s="7">
        <v>284</v>
      </c>
      <c r="G16" s="7">
        <v>56800</v>
      </c>
      <c r="H16">
        <v>1050</v>
      </c>
      <c r="I16" s="7">
        <v>298200</v>
      </c>
    </row>
    <row r="17" spans="1:9" x14ac:dyDescent="0.25">
      <c r="A17" t="s">
        <v>338</v>
      </c>
      <c r="B17" s="6">
        <v>45881</v>
      </c>
      <c r="C17" t="s">
        <v>197</v>
      </c>
      <c r="D17" t="s">
        <v>205</v>
      </c>
      <c r="E17">
        <v>100</v>
      </c>
      <c r="F17" s="7">
        <v>900</v>
      </c>
      <c r="G17" s="7">
        <v>90000</v>
      </c>
      <c r="H17">
        <v>160</v>
      </c>
      <c r="I17" s="7">
        <v>144000</v>
      </c>
    </row>
    <row r="18" spans="1:9" x14ac:dyDescent="0.25">
      <c r="A18" t="s">
        <v>355</v>
      </c>
      <c r="B18" s="6">
        <v>45910</v>
      </c>
      <c r="C18" t="s">
        <v>197</v>
      </c>
      <c r="D18" t="s">
        <v>187</v>
      </c>
      <c r="E18">
        <v>300</v>
      </c>
      <c r="F18" s="7">
        <v>920</v>
      </c>
      <c r="G18" s="7">
        <v>276000</v>
      </c>
      <c r="H18">
        <v>460</v>
      </c>
      <c r="I18" s="7">
        <v>420000</v>
      </c>
    </row>
    <row r="19" spans="1:9" x14ac:dyDescent="0.25">
      <c r="A19" t="s">
        <v>385</v>
      </c>
      <c r="B19" s="6">
        <v>45935</v>
      </c>
      <c r="C19" t="s">
        <v>192</v>
      </c>
      <c r="D19" t="s">
        <v>187</v>
      </c>
      <c r="E19">
        <v>800</v>
      </c>
      <c r="F19" s="7">
        <v>285</v>
      </c>
      <c r="G19" s="7">
        <v>228000</v>
      </c>
      <c r="H19">
        <v>1850</v>
      </c>
      <c r="I19" s="7">
        <v>526200</v>
      </c>
    </row>
    <row r="20" spans="1:9" x14ac:dyDescent="0.25">
      <c r="A20" t="s">
        <v>388</v>
      </c>
      <c r="B20" s="6">
        <v>45936</v>
      </c>
      <c r="C20" t="s">
        <v>203</v>
      </c>
      <c r="D20" t="s">
        <v>187</v>
      </c>
      <c r="E20">
        <v>300</v>
      </c>
      <c r="F20" s="7">
        <v>660</v>
      </c>
      <c r="G20" s="7">
        <v>198000</v>
      </c>
      <c r="H20">
        <v>630</v>
      </c>
      <c r="I20" s="7">
        <v>412500</v>
      </c>
    </row>
    <row r="21" spans="1:9" x14ac:dyDescent="0.25">
      <c r="A21" t="s">
        <v>394</v>
      </c>
      <c r="B21" s="6">
        <v>45948</v>
      </c>
      <c r="C21" t="s">
        <v>192</v>
      </c>
      <c r="D21" t="s">
        <v>205</v>
      </c>
      <c r="E21">
        <v>1200</v>
      </c>
      <c r="F21" s="7">
        <v>284.4324</v>
      </c>
      <c r="G21" s="7">
        <v>341318.92</v>
      </c>
      <c r="H21">
        <v>650</v>
      </c>
      <c r="I21" s="7">
        <v>184881.08</v>
      </c>
    </row>
    <row r="22" spans="1:9" x14ac:dyDescent="0.25">
      <c r="A22" t="s">
        <v>397</v>
      </c>
      <c r="B22" s="6">
        <v>45950</v>
      </c>
      <c r="C22" t="s">
        <v>197</v>
      </c>
      <c r="D22" t="s">
        <v>205</v>
      </c>
      <c r="E22">
        <v>200</v>
      </c>
      <c r="F22" s="7">
        <v>913.0435</v>
      </c>
      <c r="G22" s="7">
        <v>182608.7</v>
      </c>
      <c r="H22">
        <v>260</v>
      </c>
      <c r="I22" s="7">
        <v>237391.3</v>
      </c>
    </row>
    <row r="23" spans="1:9" x14ac:dyDescent="0.25">
      <c r="A23" t="s">
        <v>401</v>
      </c>
      <c r="B23" s="6">
        <v>45952</v>
      </c>
      <c r="C23" t="s">
        <v>203</v>
      </c>
      <c r="D23" t="s">
        <v>205</v>
      </c>
      <c r="E23">
        <v>450</v>
      </c>
      <c r="F23" s="7">
        <v>654.7619</v>
      </c>
      <c r="G23" s="7">
        <v>294642.86</v>
      </c>
      <c r="H23">
        <v>180</v>
      </c>
      <c r="I23" s="7">
        <v>117857.14</v>
      </c>
    </row>
    <row r="24" spans="1:9" x14ac:dyDescent="0.25">
      <c r="A24" t="s">
        <v>422</v>
      </c>
      <c r="B24" s="6">
        <v>45986</v>
      </c>
      <c r="C24" t="s">
        <v>192</v>
      </c>
      <c r="D24" t="s">
        <v>205</v>
      </c>
      <c r="E24">
        <v>300</v>
      </c>
      <c r="F24" s="7">
        <v>284.4324</v>
      </c>
      <c r="G24" s="7">
        <v>85329.73</v>
      </c>
      <c r="H24">
        <v>350</v>
      </c>
      <c r="I24" s="7">
        <v>99551.35</v>
      </c>
    </row>
    <row r="25" spans="1:9" x14ac:dyDescent="0.25">
      <c r="A25" t="s">
        <v>435</v>
      </c>
      <c r="B25" s="6">
        <v>46001</v>
      </c>
      <c r="C25" t="s">
        <v>197</v>
      </c>
      <c r="D25" t="s">
        <v>205</v>
      </c>
      <c r="E25">
        <v>200</v>
      </c>
      <c r="F25" s="7">
        <v>913.0435</v>
      </c>
      <c r="G25" s="7">
        <v>182608.69</v>
      </c>
      <c r="H25">
        <v>60</v>
      </c>
      <c r="I25" s="7">
        <v>54782.61</v>
      </c>
    </row>
    <row r="26" spans="1:9" x14ac:dyDescent="0.25">
      <c r="A26" t="s">
        <v>461</v>
      </c>
      <c r="B26" s="6">
        <v>46037</v>
      </c>
      <c r="C26" t="s">
        <v>203</v>
      </c>
      <c r="D26" t="s">
        <v>205</v>
      </c>
      <c r="E26">
        <v>100</v>
      </c>
      <c r="F26" s="7">
        <v>654.7619</v>
      </c>
      <c r="G26" s="7">
        <v>65476.19</v>
      </c>
      <c r="H26">
        <v>80</v>
      </c>
      <c r="I26" s="7">
        <v>52380.95</v>
      </c>
    </row>
    <row r="27" spans="1:9" x14ac:dyDescent="0.25">
      <c r="A27" t="s">
        <v>474</v>
      </c>
      <c r="B27" s="6">
        <v>46047</v>
      </c>
      <c r="C27" t="s">
        <v>197</v>
      </c>
      <c r="D27" t="s">
        <v>187</v>
      </c>
      <c r="E27">
        <v>300</v>
      </c>
      <c r="F27" s="7">
        <v>940</v>
      </c>
      <c r="G27" s="7">
        <v>282000</v>
      </c>
      <c r="H27">
        <v>360</v>
      </c>
      <c r="I27" s="7">
        <v>336782.61</v>
      </c>
    </row>
    <row r="28" spans="1:9" x14ac:dyDescent="0.25">
      <c r="A28" t="s">
        <v>486</v>
      </c>
      <c r="B28" s="6">
        <v>46065</v>
      </c>
      <c r="C28" t="s">
        <v>197</v>
      </c>
      <c r="D28" t="s">
        <v>205</v>
      </c>
      <c r="E28">
        <v>200</v>
      </c>
      <c r="F28" s="7">
        <v>935.5073</v>
      </c>
      <c r="G28" s="7">
        <v>187101.45</v>
      </c>
      <c r="H28">
        <v>160</v>
      </c>
      <c r="I28" s="7">
        <v>149681.16</v>
      </c>
    </row>
    <row r="29" spans="1:9" x14ac:dyDescent="0.25">
      <c r="A29" t="s">
        <v>492</v>
      </c>
      <c r="B29" s="6">
        <v>46071</v>
      </c>
      <c r="C29" t="s">
        <v>192</v>
      </c>
      <c r="D29" t="s">
        <v>205</v>
      </c>
      <c r="E29">
        <v>300</v>
      </c>
      <c r="F29" s="7">
        <v>284.4324</v>
      </c>
      <c r="G29" s="7">
        <v>85329.73</v>
      </c>
      <c r="H29">
        <v>50</v>
      </c>
      <c r="I29" s="7">
        <v>14221.62</v>
      </c>
    </row>
    <row r="30" spans="1:9" x14ac:dyDescent="0.25">
      <c r="A30" t="s">
        <v>507</v>
      </c>
      <c r="B30" s="6">
        <v>46086</v>
      </c>
      <c r="C30" t="s">
        <v>197</v>
      </c>
      <c r="D30" t="s">
        <v>205</v>
      </c>
      <c r="E30">
        <v>150</v>
      </c>
      <c r="F30" s="7">
        <v>935.5073</v>
      </c>
      <c r="G30" s="7">
        <v>140326.09</v>
      </c>
      <c r="H30">
        <v>10</v>
      </c>
      <c r="I30" s="7">
        <v>9355.07</v>
      </c>
    </row>
    <row r="31" spans="1:9" x14ac:dyDescent="0.25">
      <c r="A31" t="s">
        <v>515</v>
      </c>
      <c r="B31" s="6">
        <v>46093</v>
      </c>
      <c r="C31" t="s">
        <v>192</v>
      </c>
      <c r="D31" t="s">
        <v>187</v>
      </c>
      <c r="E31">
        <v>400</v>
      </c>
      <c r="F31" s="7">
        <v>295</v>
      </c>
      <c r="G31" s="7">
        <v>118000</v>
      </c>
      <c r="H31">
        <v>450</v>
      </c>
      <c r="I31" s="7">
        <v>132221.62</v>
      </c>
    </row>
    <row r="33" spans="1:9" s="15" customFormat="1" x14ac:dyDescent="0.25">
      <c r="A33" s="15" t="s">
        <v>738</v>
      </c>
      <c r="B33" s="16"/>
      <c r="F33" s="17"/>
      <c r="G33" s="17"/>
      <c r="I33" s="17"/>
    </row>
    <row r="34" spans="1:9" x14ac:dyDescent="0.25">
      <c r="A34" t="s">
        <v>34</v>
      </c>
      <c r="B34" s="6" t="s">
        <v>34</v>
      </c>
      <c r="C34" t="s">
        <v>192</v>
      </c>
      <c r="D34" t="s">
        <v>739</v>
      </c>
      <c r="E34">
        <v>450</v>
      </c>
      <c r="F34" s="7">
        <v>293.8258</v>
      </c>
      <c r="G34" s="7">
        <v>132221.62</v>
      </c>
      <c r="I34" s="7"/>
    </row>
    <row r="35" spans="1:9" x14ac:dyDescent="0.25">
      <c r="A35" t="s">
        <v>34</v>
      </c>
      <c r="B35" s="6" t="s">
        <v>34</v>
      </c>
      <c r="C35" t="s">
        <v>197</v>
      </c>
      <c r="D35" t="s">
        <v>739</v>
      </c>
      <c r="E35">
        <v>10</v>
      </c>
      <c r="F35" s="7">
        <v>935.507</v>
      </c>
      <c r="G35" s="7">
        <v>9355.07</v>
      </c>
      <c r="I35" s="7"/>
    </row>
    <row r="36" spans="1:9" x14ac:dyDescent="0.25">
      <c r="A36" t="s">
        <v>34</v>
      </c>
      <c r="B36" s="6" t="s">
        <v>34</v>
      </c>
      <c r="C36" t="s">
        <v>203</v>
      </c>
      <c r="D36" t="s">
        <v>739</v>
      </c>
      <c r="E36">
        <v>80</v>
      </c>
      <c r="F36" s="7">
        <v>654.7619</v>
      </c>
      <c r="G36" s="7">
        <v>52380.95</v>
      </c>
      <c r="I36" s="7"/>
    </row>
    <row r="37" spans="1:9" s="3" customFormat="1" x14ac:dyDescent="0.25">
      <c r="A37" s="3" t="s">
        <v>34</v>
      </c>
      <c r="B37" s="13" t="s">
        <v>34</v>
      </c>
      <c r="C37" s="3" t="s">
        <v>740</v>
      </c>
      <c r="D37" s="3" t="s">
        <v>34</v>
      </c>
      <c r="E37" s="3" t="s">
        <v>34</v>
      </c>
      <c r="F37" s="14" t="s">
        <v>34</v>
      </c>
      <c r="G37" s="14">
        <v>193957.64</v>
      </c>
      <c r="I37" s="14"/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4" customWidth="1"/>
    <col min="3" max="3" width="14" style="6" customWidth="1"/>
    <col min="4" max="5" width="16" style="7" customWidth="1"/>
    <col min="6" max="6" width="10" customWidth="1"/>
    <col min="7" max="7" width="22" style="7" customWidth="1"/>
    <col min="8" max="8" width="20" style="7" customWidth="1"/>
    <col min="9" max="9" width="18" style="7" customWidth="1"/>
  </cols>
  <sheetData>
    <row r="1" spans="1:9" s="1" customFormat="1" x14ac:dyDescent="0.25">
      <c r="A1" s="8" t="s">
        <v>741</v>
      </c>
      <c r="B1" s="8"/>
      <c r="C1" s="8"/>
      <c r="D1" s="8"/>
      <c r="E1" s="8"/>
      <c r="F1" s="8"/>
      <c r="G1" s="8"/>
      <c r="H1" s="8"/>
      <c r="I1" s="8"/>
    </row>
    <row r="2" spans="1:9" s="2" customFormat="1" x14ac:dyDescent="0.25">
      <c r="A2" s="2" t="s">
        <v>1</v>
      </c>
      <c r="C2" s="9"/>
      <c r="D2" s="10"/>
      <c r="E2" s="10"/>
      <c r="G2" s="10"/>
      <c r="H2" s="10"/>
      <c r="I2" s="10"/>
    </row>
    <row r="4" spans="1:9" s="5" customFormat="1" x14ac:dyDescent="0.25">
      <c r="A4" s="5" t="s">
        <v>742</v>
      </c>
      <c r="B4" s="5" t="s">
        <v>743</v>
      </c>
      <c r="C4" s="11" t="s">
        <v>744</v>
      </c>
      <c r="D4" s="12" t="s">
        <v>745</v>
      </c>
      <c r="E4" s="12" t="s">
        <v>746</v>
      </c>
      <c r="F4" s="5" t="s">
        <v>747</v>
      </c>
      <c r="G4" s="12" t="s">
        <v>748</v>
      </c>
      <c r="H4" s="12" t="s">
        <v>749</v>
      </c>
      <c r="I4" s="12" t="s">
        <v>750</v>
      </c>
    </row>
    <row r="5" spans="1:9" x14ac:dyDescent="0.25">
      <c r="A5" t="s">
        <v>158</v>
      </c>
      <c r="B5" t="s">
        <v>163</v>
      </c>
      <c r="C5" s="6">
        <v>45750</v>
      </c>
      <c r="D5" s="7">
        <v>150000</v>
      </c>
      <c r="E5" s="7">
        <v>10000</v>
      </c>
      <c r="F5">
        <v>10</v>
      </c>
      <c r="G5" s="7">
        <v>13923.29</v>
      </c>
      <c r="H5" s="7">
        <v>136076.71</v>
      </c>
      <c r="I5" s="7">
        <v>14000</v>
      </c>
    </row>
    <row r="6" spans="1:9" x14ac:dyDescent="0.25">
      <c r="A6" t="s">
        <v>164</v>
      </c>
      <c r="B6" t="s">
        <v>168</v>
      </c>
      <c r="C6" s="6">
        <v>45751</v>
      </c>
      <c r="D6" s="7">
        <v>120000</v>
      </c>
      <c r="E6" s="7">
        <v>6000</v>
      </c>
      <c r="F6">
        <v>3</v>
      </c>
      <c r="G6" s="7">
        <v>37687.66</v>
      </c>
      <c r="H6" s="7">
        <v>82312.34</v>
      </c>
      <c r="I6" s="7">
        <v>38000</v>
      </c>
    </row>
    <row r="7" spans="1:9" x14ac:dyDescent="0.25">
      <c r="A7" t="s">
        <v>175</v>
      </c>
      <c r="B7" t="s">
        <v>179</v>
      </c>
      <c r="C7" s="6">
        <v>45753</v>
      </c>
      <c r="D7" s="7">
        <v>500000</v>
      </c>
      <c r="E7" s="7">
        <v>80000</v>
      </c>
      <c r="F7">
        <v>8</v>
      </c>
      <c r="G7" s="7">
        <v>51780.83</v>
      </c>
      <c r="H7" s="7">
        <v>448219.17</v>
      </c>
      <c r="I7" s="7">
        <v>52500</v>
      </c>
    </row>
    <row r="8" spans="1:9" s="15" customFormat="1" x14ac:dyDescent="0.25">
      <c r="A8" s="15" t="s">
        <v>34</v>
      </c>
      <c r="B8" s="15" t="s">
        <v>653</v>
      </c>
      <c r="C8" s="16"/>
      <c r="D8" s="17">
        <f>SUM(D5:D7)</f>
        <v>770000</v>
      </c>
      <c r="E8" s="17"/>
      <c r="F8" s="15"/>
      <c r="G8" s="17">
        <f>SUM(G5:G7)</f>
        <v>103391.78</v>
      </c>
      <c r="H8" s="17">
        <f>SUM(H5:H7)</f>
        <v>666608.22</v>
      </c>
      <c r="I8" s="17"/>
    </row>
    <row r="10" spans="1:9" s="15" customFormat="1" x14ac:dyDescent="0.25">
      <c r="A10" s="15" t="s">
        <v>751</v>
      </c>
      <c r="B10" s="15" t="s">
        <v>743</v>
      </c>
      <c r="C10" s="16" t="s">
        <v>752</v>
      </c>
      <c r="D10" s="17" t="s">
        <v>753</v>
      </c>
      <c r="E10" s="17" t="s">
        <v>698</v>
      </c>
      <c r="G10" s="17"/>
      <c r="H10" s="17"/>
      <c r="I10" s="17"/>
    </row>
    <row r="11" spans="1:9" x14ac:dyDescent="0.25">
      <c r="A11" t="s">
        <v>300</v>
      </c>
      <c r="B11" t="s">
        <v>163</v>
      </c>
      <c r="C11" s="6">
        <v>45838</v>
      </c>
      <c r="D11" s="7">
        <v>89</v>
      </c>
      <c r="E11" s="7">
        <v>3413.7</v>
      </c>
      <c r="G11" s="7"/>
      <c r="H11" s="7"/>
      <c r="I11" s="7"/>
    </row>
    <row r="12" spans="1:9" x14ac:dyDescent="0.25">
      <c r="A12" t="s">
        <v>300</v>
      </c>
      <c r="B12" t="s">
        <v>168</v>
      </c>
      <c r="C12" s="6">
        <v>45838</v>
      </c>
      <c r="D12" s="7">
        <v>88</v>
      </c>
      <c r="E12" s="7">
        <v>9161.64</v>
      </c>
      <c r="G12" s="7"/>
      <c r="H12" s="7"/>
      <c r="I12" s="7"/>
    </row>
    <row r="13" spans="1:9" x14ac:dyDescent="0.25">
      <c r="A13" t="s">
        <v>300</v>
      </c>
      <c r="B13" t="s">
        <v>179</v>
      </c>
      <c r="C13" s="6">
        <v>45838</v>
      </c>
      <c r="D13" s="7">
        <v>86</v>
      </c>
      <c r="E13" s="7">
        <v>12369.86</v>
      </c>
      <c r="G13" s="7"/>
      <c r="H13" s="7"/>
      <c r="I13" s="7"/>
    </row>
    <row r="14" spans="1:9" x14ac:dyDescent="0.25">
      <c r="A14" t="s">
        <v>374</v>
      </c>
      <c r="B14" t="s">
        <v>163</v>
      </c>
      <c r="C14" s="6">
        <v>45930</v>
      </c>
      <c r="D14" s="7">
        <v>92</v>
      </c>
      <c r="E14" s="7">
        <v>3528.77</v>
      </c>
      <c r="G14" s="7"/>
      <c r="H14" s="7"/>
      <c r="I14" s="7"/>
    </row>
    <row r="15" spans="1:9" x14ac:dyDescent="0.25">
      <c r="A15" t="s">
        <v>374</v>
      </c>
      <c r="B15" t="s">
        <v>168</v>
      </c>
      <c r="C15" s="6">
        <v>45930</v>
      </c>
      <c r="D15" s="7">
        <v>92</v>
      </c>
      <c r="E15" s="7">
        <v>9578.08</v>
      </c>
      <c r="G15" s="7"/>
      <c r="H15" s="7"/>
      <c r="I15" s="7"/>
    </row>
    <row r="16" spans="1:9" x14ac:dyDescent="0.25">
      <c r="A16" t="s">
        <v>374</v>
      </c>
      <c r="B16" t="s">
        <v>179</v>
      </c>
      <c r="C16" s="6">
        <v>45930</v>
      </c>
      <c r="D16" s="7">
        <v>92</v>
      </c>
      <c r="E16" s="7">
        <v>13232.88</v>
      </c>
      <c r="G16" s="7"/>
      <c r="H16" s="7"/>
      <c r="I16" s="7"/>
    </row>
    <row r="17" spans="1:9" x14ac:dyDescent="0.25">
      <c r="A17" t="s">
        <v>449</v>
      </c>
      <c r="B17" t="s">
        <v>163</v>
      </c>
      <c r="C17" s="6">
        <v>46022</v>
      </c>
      <c r="D17" s="7">
        <v>92</v>
      </c>
      <c r="E17" s="7">
        <v>3528.77</v>
      </c>
      <c r="G17" s="7"/>
      <c r="H17" s="7"/>
      <c r="I17" s="7"/>
    </row>
    <row r="18" spans="1:9" x14ac:dyDescent="0.25">
      <c r="A18" t="s">
        <v>449</v>
      </c>
      <c r="B18" t="s">
        <v>168</v>
      </c>
      <c r="C18" s="6">
        <v>46022</v>
      </c>
      <c r="D18" s="7">
        <v>92</v>
      </c>
      <c r="E18" s="7">
        <v>9578.08</v>
      </c>
      <c r="G18" s="7"/>
      <c r="H18" s="7"/>
      <c r="I18" s="7"/>
    </row>
    <row r="19" spans="1:9" x14ac:dyDescent="0.25">
      <c r="A19" t="s">
        <v>449</v>
      </c>
      <c r="B19" t="s">
        <v>179</v>
      </c>
      <c r="C19" s="6">
        <v>46022</v>
      </c>
      <c r="D19" s="7">
        <v>92</v>
      </c>
      <c r="E19" s="7">
        <v>13232.88</v>
      </c>
      <c r="G19" s="7"/>
      <c r="H19" s="7"/>
      <c r="I19" s="7"/>
    </row>
    <row r="20" spans="1:9" x14ac:dyDescent="0.25">
      <c r="A20" t="s">
        <v>531</v>
      </c>
      <c r="B20" t="s">
        <v>163</v>
      </c>
      <c r="C20" s="6">
        <v>46112</v>
      </c>
      <c r="D20" s="7">
        <v>90</v>
      </c>
      <c r="E20" s="7">
        <v>3452.05</v>
      </c>
      <c r="G20" s="7"/>
      <c r="H20" s="7"/>
      <c r="I20" s="7"/>
    </row>
    <row r="21" spans="1:9" x14ac:dyDescent="0.25">
      <c r="A21" t="s">
        <v>531</v>
      </c>
      <c r="B21" t="s">
        <v>168</v>
      </c>
      <c r="C21" s="6">
        <v>46112</v>
      </c>
      <c r="D21" s="7">
        <v>90</v>
      </c>
      <c r="E21" s="7">
        <v>9369.86</v>
      </c>
      <c r="G21" s="7"/>
      <c r="H21" s="7"/>
      <c r="I21" s="7"/>
    </row>
    <row r="22" spans="1:9" x14ac:dyDescent="0.25">
      <c r="A22" t="s">
        <v>531</v>
      </c>
      <c r="B22" t="s">
        <v>179</v>
      </c>
      <c r="C22" s="6">
        <v>46112</v>
      </c>
      <c r="D22" s="7">
        <v>90</v>
      </c>
      <c r="E22" s="7">
        <v>12945.21</v>
      </c>
      <c r="G22" s="7"/>
      <c r="H22" s="7"/>
      <c r="I22" s="7"/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3" style="6" customWidth="1"/>
    <col min="3" max="3" width="66" customWidth="1"/>
    <col min="4" max="4" width="8" customWidth="1"/>
    <col min="5" max="5" width="14" customWidth="1"/>
    <col min="6" max="7" width="16" style="7" customWidth="1"/>
    <col min="8" max="8" width="24" style="7" customWidth="1"/>
  </cols>
  <sheetData>
    <row r="1" spans="1:8" s="1" customFormat="1" x14ac:dyDescent="0.25">
      <c r="A1" s="8" t="s">
        <v>754</v>
      </c>
      <c r="B1" s="8"/>
      <c r="C1" s="8"/>
      <c r="D1" s="8"/>
      <c r="E1" s="8"/>
      <c r="F1" s="8"/>
      <c r="G1" s="8"/>
      <c r="H1" s="8"/>
    </row>
    <row r="2" spans="1:8" s="2" customFormat="1" x14ac:dyDescent="0.25">
      <c r="A2" s="9" t="s">
        <v>1</v>
      </c>
      <c r="F2" s="10"/>
      <c r="G2" s="10"/>
      <c r="H2" s="10"/>
    </row>
    <row r="4" spans="1:8" s="5" customFormat="1" x14ac:dyDescent="0.25">
      <c r="A4" s="11" t="s">
        <v>125</v>
      </c>
      <c r="B4" s="5" t="s">
        <v>124</v>
      </c>
      <c r="C4" s="5" t="s">
        <v>126</v>
      </c>
      <c r="D4" s="5" t="s">
        <v>134</v>
      </c>
      <c r="E4" s="5" t="s">
        <v>755</v>
      </c>
      <c r="F4" s="12" t="s">
        <v>756</v>
      </c>
      <c r="G4" s="12" t="s">
        <v>757</v>
      </c>
      <c r="H4" s="12" t="s">
        <v>758</v>
      </c>
    </row>
    <row r="5" spans="1:8" x14ac:dyDescent="0.25">
      <c r="A5" s="6">
        <v>45750</v>
      </c>
      <c r="B5" t="s">
        <v>158</v>
      </c>
      <c r="C5" t="s">
        <v>160</v>
      </c>
      <c r="D5">
        <v>18</v>
      </c>
      <c r="E5" t="s">
        <v>759</v>
      </c>
      <c r="F5" s="7">
        <v>27000</v>
      </c>
      <c r="G5" s="7"/>
      <c r="H5" s="7"/>
    </row>
    <row r="6" spans="1:8" x14ac:dyDescent="0.25">
      <c r="A6" s="6">
        <v>45751</v>
      </c>
      <c r="B6" t="s">
        <v>164</v>
      </c>
      <c r="C6" t="s">
        <v>165</v>
      </c>
      <c r="D6">
        <v>18</v>
      </c>
      <c r="E6" t="s">
        <v>759</v>
      </c>
      <c r="F6" s="7">
        <v>21600</v>
      </c>
      <c r="G6" s="7"/>
      <c r="H6" s="7"/>
    </row>
    <row r="7" spans="1:8" x14ac:dyDescent="0.25">
      <c r="A7" s="6">
        <v>45753</v>
      </c>
      <c r="B7" t="s">
        <v>175</v>
      </c>
      <c r="C7" t="s">
        <v>176</v>
      </c>
      <c r="D7">
        <v>18</v>
      </c>
      <c r="E7" t="s">
        <v>759</v>
      </c>
      <c r="F7" s="7">
        <v>90000</v>
      </c>
      <c r="G7" s="7"/>
      <c r="H7" s="7"/>
    </row>
    <row r="8" spans="1:8" x14ac:dyDescent="0.25">
      <c r="A8" s="6">
        <v>45757</v>
      </c>
      <c r="B8" t="s">
        <v>180</v>
      </c>
      <c r="C8" t="s">
        <v>182</v>
      </c>
      <c r="D8">
        <v>18</v>
      </c>
      <c r="E8" t="s">
        <v>759</v>
      </c>
      <c r="F8" s="7">
        <v>11880</v>
      </c>
      <c r="G8" s="7"/>
      <c r="H8" s="7"/>
    </row>
    <row r="9" spans="1:8" x14ac:dyDescent="0.25">
      <c r="A9" s="6">
        <v>45759</v>
      </c>
      <c r="B9" t="s">
        <v>186</v>
      </c>
      <c r="C9" t="s">
        <v>188</v>
      </c>
      <c r="D9">
        <v>18</v>
      </c>
      <c r="E9" t="s">
        <v>759</v>
      </c>
      <c r="F9" s="7">
        <v>50400</v>
      </c>
      <c r="G9" s="7"/>
      <c r="H9" s="7"/>
    </row>
    <row r="10" spans="1:8" x14ac:dyDescent="0.25">
      <c r="A10" s="6">
        <v>45761</v>
      </c>
      <c r="B10" t="s">
        <v>193</v>
      </c>
      <c r="C10" t="s">
        <v>194</v>
      </c>
      <c r="D10">
        <v>12</v>
      </c>
      <c r="E10" t="s">
        <v>759</v>
      </c>
      <c r="F10" s="7">
        <v>43200</v>
      </c>
      <c r="G10" s="7"/>
      <c r="H10" s="7"/>
    </row>
    <row r="11" spans="1:8" x14ac:dyDescent="0.25">
      <c r="A11" s="6">
        <v>45765</v>
      </c>
      <c r="B11" t="s">
        <v>199</v>
      </c>
      <c r="C11" t="s">
        <v>200</v>
      </c>
      <c r="D11">
        <v>18</v>
      </c>
      <c r="E11" t="s">
        <v>759</v>
      </c>
      <c r="F11" s="7">
        <v>58500</v>
      </c>
      <c r="G11" s="7"/>
      <c r="H11" s="7"/>
    </row>
    <row r="12" spans="1:8" x14ac:dyDescent="0.25">
      <c r="A12" s="6">
        <v>45767</v>
      </c>
      <c r="B12" t="s">
        <v>204</v>
      </c>
      <c r="C12" t="s">
        <v>206</v>
      </c>
      <c r="D12">
        <v>18</v>
      </c>
      <c r="E12" t="s">
        <v>759</v>
      </c>
      <c r="F12" s="7"/>
      <c r="G12" s="7">
        <v>8820</v>
      </c>
      <c r="H12" s="7"/>
    </row>
    <row r="13" spans="1:8" x14ac:dyDescent="0.25">
      <c r="A13" s="6">
        <v>45769</v>
      </c>
      <c r="B13" t="s">
        <v>210</v>
      </c>
      <c r="C13" t="s">
        <v>211</v>
      </c>
      <c r="D13">
        <v>12</v>
      </c>
      <c r="E13" t="s">
        <v>759</v>
      </c>
      <c r="F13" s="7"/>
      <c r="G13" s="7">
        <v>11880</v>
      </c>
      <c r="H13" s="7"/>
    </row>
    <row r="14" spans="1:8" x14ac:dyDescent="0.25">
      <c r="A14" s="6">
        <v>45772</v>
      </c>
      <c r="B14" t="s">
        <v>214</v>
      </c>
      <c r="C14" t="s">
        <v>215</v>
      </c>
      <c r="D14">
        <v>18</v>
      </c>
      <c r="E14" t="s">
        <v>759</v>
      </c>
      <c r="F14" s="7"/>
      <c r="G14" s="7">
        <v>9000</v>
      </c>
      <c r="H14" s="7"/>
    </row>
    <row r="15" spans="1:8" x14ac:dyDescent="0.25">
      <c r="A15" s="6">
        <v>45775</v>
      </c>
      <c r="B15" t="s">
        <v>223</v>
      </c>
      <c r="C15" t="s">
        <v>224</v>
      </c>
      <c r="D15">
        <v>18</v>
      </c>
      <c r="E15" t="s">
        <v>759</v>
      </c>
      <c r="F15" s="7">
        <v>4500</v>
      </c>
      <c r="G15" s="7"/>
      <c r="H15" s="7"/>
    </row>
    <row r="16" spans="1:8" x14ac:dyDescent="0.25">
      <c r="A16" s="6">
        <v>45777</v>
      </c>
      <c r="B16" t="s">
        <v>233</v>
      </c>
      <c r="C16" t="s">
        <v>234</v>
      </c>
      <c r="D16">
        <v>18</v>
      </c>
      <c r="E16" t="s">
        <v>759</v>
      </c>
      <c r="F16" s="7">
        <v>180</v>
      </c>
      <c r="G16" s="7"/>
      <c r="H16" s="7"/>
    </row>
    <row r="17" spans="1:8" x14ac:dyDescent="0.25">
      <c r="A17" s="6">
        <v>45787</v>
      </c>
      <c r="B17" t="s">
        <v>243</v>
      </c>
      <c r="C17" t="s">
        <v>245</v>
      </c>
      <c r="D17">
        <v>18</v>
      </c>
      <c r="E17" t="s">
        <v>759</v>
      </c>
      <c r="F17" s="7"/>
      <c r="G17" s="7">
        <v>7200</v>
      </c>
      <c r="H17" s="7"/>
    </row>
    <row r="18" spans="1:8" x14ac:dyDescent="0.25">
      <c r="A18" s="6">
        <v>45799</v>
      </c>
      <c r="B18" t="s">
        <v>257</v>
      </c>
      <c r="C18" t="s">
        <v>258</v>
      </c>
      <c r="D18">
        <v>18</v>
      </c>
      <c r="E18" t="s">
        <v>759</v>
      </c>
      <c r="F18" s="7"/>
      <c r="G18" s="7">
        <v>13230</v>
      </c>
      <c r="H18" s="7"/>
    </row>
    <row r="19" spans="1:8" x14ac:dyDescent="0.25">
      <c r="A19" s="6">
        <v>45802</v>
      </c>
      <c r="B19" t="s">
        <v>261</v>
      </c>
      <c r="C19" t="s">
        <v>262</v>
      </c>
      <c r="D19">
        <v>12</v>
      </c>
      <c r="E19" t="s">
        <v>759</v>
      </c>
      <c r="F19" s="7"/>
      <c r="G19" s="7">
        <v>15840</v>
      </c>
      <c r="H19" s="7"/>
    </row>
    <row r="20" spans="1:8" x14ac:dyDescent="0.25">
      <c r="A20" s="6">
        <v>45808</v>
      </c>
      <c r="B20" t="s">
        <v>267</v>
      </c>
      <c r="C20" t="s">
        <v>268</v>
      </c>
      <c r="D20">
        <v>18</v>
      </c>
      <c r="E20" t="s">
        <v>759</v>
      </c>
      <c r="F20" s="7">
        <v>180</v>
      </c>
      <c r="G20" s="7"/>
      <c r="H20" s="7"/>
    </row>
    <row r="21" spans="1:8" x14ac:dyDescent="0.25">
      <c r="A21" s="6">
        <v>45818</v>
      </c>
      <c r="B21" t="s">
        <v>276</v>
      </c>
      <c r="C21" t="s">
        <v>277</v>
      </c>
      <c r="D21">
        <v>18</v>
      </c>
      <c r="E21" t="s">
        <v>759</v>
      </c>
      <c r="F21" s="7">
        <v>26100</v>
      </c>
      <c r="G21" s="7"/>
      <c r="H21" s="7"/>
    </row>
    <row r="22" spans="1:8" x14ac:dyDescent="0.25">
      <c r="A22" s="6">
        <v>45836</v>
      </c>
      <c r="B22" t="s">
        <v>287</v>
      </c>
      <c r="C22" t="s">
        <v>289</v>
      </c>
      <c r="D22">
        <v>18</v>
      </c>
      <c r="E22" t="s">
        <v>759</v>
      </c>
      <c r="F22" s="7">
        <v>47520</v>
      </c>
      <c r="G22" s="7"/>
      <c r="H22" s="7"/>
    </row>
    <row r="23" spans="1:8" x14ac:dyDescent="0.25">
      <c r="A23" s="6">
        <v>45837</v>
      </c>
      <c r="B23" t="s">
        <v>291</v>
      </c>
      <c r="C23" t="s">
        <v>292</v>
      </c>
      <c r="D23">
        <v>18</v>
      </c>
      <c r="E23" t="s">
        <v>759</v>
      </c>
      <c r="F23" s="7"/>
      <c r="G23" s="7">
        <v>6750</v>
      </c>
      <c r="H23" s="7"/>
    </row>
    <row r="24" spans="1:8" x14ac:dyDescent="0.25">
      <c r="A24" s="6">
        <v>45848</v>
      </c>
      <c r="B24" t="s">
        <v>312</v>
      </c>
      <c r="C24" t="s">
        <v>313</v>
      </c>
      <c r="D24">
        <v>18</v>
      </c>
      <c r="E24" t="s">
        <v>759</v>
      </c>
      <c r="F24" s="7"/>
      <c r="G24" s="7">
        <v>22500</v>
      </c>
      <c r="H24" s="7"/>
    </row>
    <row r="25" spans="1:8" x14ac:dyDescent="0.25">
      <c r="A25" s="6">
        <v>45853</v>
      </c>
      <c r="B25" t="s">
        <v>315</v>
      </c>
      <c r="C25" t="s">
        <v>316</v>
      </c>
      <c r="D25">
        <v>18</v>
      </c>
      <c r="E25" t="s">
        <v>759</v>
      </c>
      <c r="F25" s="7">
        <v>7200</v>
      </c>
      <c r="G25" s="7"/>
      <c r="H25" s="7"/>
    </row>
    <row r="26" spans="1:8" x14ac:dyDescent="0.25">
      <c r="A26" s="6">
        <v>45858</v>
      </c>
      <c r="B26" t="s">
        <v>318</v>
      </c>
      <c r="C26" t="s">
        <v>320</v>
      </c>
      <c r="E26" t="s">
        <v>760</v>
      </c>
      <c r="F26" s="7"/>
      <c r="G26" s="7"/>
      <c r="H26" s="7">
        <v>95220</v>
      </c>
    </row>
    <row r="27" spans="1:8" x14ac:dyDescent="0.25">
      <c r="A27" s="6">
        <v>45869</v>
      </c>
      <c r="B27" t="s">
        <v>326</v>
      </c>
      <c r="C27" t="s">
        <v>327</v>
      </c>
      <c r="D27">
        <v>18</v>
      </c>
      <c r="E27" t="s">
        <v>759</v>
      </c>
      <c r="F27" s="7"/>
      <c r="G27" s="7">
        <v>17640</v>
      </c>
      <c r="H27" s="7"/>
    </row>
    <row r="28" spans="1:8" x14ac:dyDescent="0.25">
      <c r="A28" s="6">
        <v>45881</v>
      </c>
      <c r="B28" t="s">
        <v>338</v>
      </c>
      <c r="C28" t="s">
        <v>339</v>
      </c>
      <c r="D28">
        <v>12</v>
      </c>
      <c r="E28" t="s">
        <v>759</v>
      </c>
      <c r="F28" s="7"/>
      <c r="G28" s="7">
        <v>19800</v>
      </c>
      <c r="H28" s="7"/>
    </row>
    <row r="29" spans="1:8" x14ac:dyDescent="0.25">
      <c r="A29" s="6">
        <v>45889</v>
      </c>
      <c r="B29" t="s">
        <v>344</v>
      </c>
      <c r="C29" t="s">
        <v>345</v>
      </c>
      <c r="D29">
        <v>18</v>
      </c>
      <c r="E29" t="s">
        <v>759</v>
      </c>
      <c r="F29" s="7">
        <v>2160</v>
      </c>
      <c r="G29" s="7"/>
      <c r="H29" s="7"/>
    </row>
    <row r="30" spans="1:8" x14ac:dyDescent="0.25">
      <c r="A30" s="6">
        <v>45910</v>
      </c>
      <c r="B30" t="s">
        <v>355</v>
      </c>
      <c r="C30" t="s">
        <v>356</v>
      </c>
      <c r="D30">
        <v>12</v>
      </c>
      <c r="E30" t="s">
        <v>759</v>
      </c>
      <c r="F30" s="7">
        <v>33120</v>
      </c>
      <c r="G30" s="7"/>
      <c r="H30" s="7"/>
    </row>
    <row r="31" spans="1:8" x14ac:dyDescent="0.25">
      <c r="A31" s="6">
        <v>45920</v>
      </c>
      <c r="B31" t="s">
        <v>366</v>
      </c>
      <c r="C31" t="s">
        <v>367</v>
      </c>
      <c r="D31">
        <v>18</v>
      </c>
      <c r="E31" t="s">
        <v>759</v>
      </c>
      <c r="F31" s="7">
        <v>1620</v>
      </c>
      <c r="G31" s="7"/>
      <c r="H31" s="7"/>
    </row>
    <row r="32" spans="1:8" x14ac:dyDescent="0.25">
      <c r="A32" s="6">
        <v>45935</v>
      </c>
      <c r="B32" t="s">
        <v>385</v>
      </c>
      <c r="C32" t="s">
        <v>386</v>
      </c>
      <c r="D32">
        <v>18</v>
      </c>
      <c r="E32" t="s">
        <v>759</v>
      </c>
      <c r="F32" s="7">
        <v>41040</v>
      </c>
      <c r="G32" s="7"/>
      <c r="H32" s="7"/>
    </row>
    <row r="33" spans="1:8" x14ac:dyDescent="0.25">
      <c r="A33" s="6">
        <v>45936</v>
      </c>
      <c r="B33" t="s">
        <v>388</v>
      </c>
      <c r="C33" t="s">
        <v>389</v>
      </c>
      <c r="D33">
        <v>18</v>
      </c>
      <c r="E33" t="s">
        <v>759</v>
      </c>
      <c r="F33" s="7">
        <v>35640</v>
      </c>
      <c r="G33" s="7"/>
      <c r="H33" s="7"/>
    </row>
    <row r="34" spans="1:8" x14ac:dyDescent="0.25">
      <c r="A34" s="6">
        <v>45942</v>
      </c>
      <c r="B34" t="s">
        <v>391</v>
      </c>
      <c r="C34" t="s">
        <v>392</v>
      </c>
      <c r="D34">
        <v>18</v>
      </c>
      <c r="E34" t="s">
        <v>759</v>
      </c>
      <c r="F34" s="7">
        <v>10800</v>
      </c>
      <c r="G34" s="7"/>
      <c r="H34" s="7"/>
    </row>
    <row r="35" spans="1:8" x14ac:dyDescent="0.25">
      <c r="A35" s="6">
        <v>45948</v>
      </c>
      <c r="B35" t="s">
        <v>394</v>
      </c>
      <c r="C35" t="s">
        <v>395</v>
      </c>
      <c r="D35">
        <v>18</v>
      </c>
      <c r="E35" t="s">
        <v>759</v>
      </c>
      <c r="F35" s="7"/>
      <c r="G35" s="7">
        <v>108000</v>
      </c>
      <c r="H35" s="7"/>
    </row>
    <row r="36" spans="1:8" x14ac:dyDescent="0.25">
      <c r="A36" s="6">
        <v>45950</v>
      </c>
      <c r="B36" t="s">
        <v>397</v>
      </c>
      <c r="C36" t="s">
        <v>398</v>
      </c>
      <c r="D36">
        <v>12</v>
      </c>
      <c r="E36" t="s">
        <v>759</v>
      </c>
      <c r="F36" s="7"/>
      <c r="G36" s="7">
        <v>40800</v>
      </c>
      <c r="H36" s="7"/>
    </row>
    <row r="37" spans="1:8" x14ac:dyDescent="0.25">
      <c r="A37" s="6">
        <v>45952</v>
      </c>
      <c r="B37" t="s">
        <v>401</v>
      </c>
      <c r="C37" t="s">
        <v>402</v>
      </c>
      <c r="D37">
        <v>18</v>
      </c>
      <c r="E37" t="s">
        <v>759</v>
      </c>
      <c r="F37" s="7"/>
      <c r="G37" s="7">
        <v>105300</v>
      </c>
      <c r="H37" s="7"/>
    </row>
    <row r="38" spans="1:8" x14ac:dyDescent="0.25">
      <c r="A38" s="6">
        <v>45955</v>
      </c>
      <c r="B38" t="s">
        <v>404</v>
      </c>
      <c r="C38" t="s">
        <v>405</v>
      </c>
      <c r="D38">
        <v>18</v>
      </c>
      <c r="E38" t="s">
        <v>759</v>
      </c>
      <c r="F38" s="7"/>
      <c r="G38" s="7">
        <v>4500</v>
      </c>
      <c r="H38" s="7"/>
    </row>
    <row r="39" spans="1:8" x14ac:dyDescent="0.25">
      <c r="A39" s="6">
        <v>45981</v>
      </c>
      <c r="B39" t="s">
        <v>419</v>
      </c>
      <c r="C39" t="s">
        <v>420</v>
      </c>
      <c r="E39" t="s">
        <v>760</v>
      </c>
      <c r="F39" s="7"/>
      <c r="G39" s="7"/>
      <c r="H39" s="7">
        <v>296040</v>
      </c>
    </row>
    <row r="40" spans="1:8" x14ac:dyDescent="0.25">
      <c r="A40" s="6">
        <v>45986</v>
      </c>
      <c r="B40" t="s">
        <v>422</v>
      </c>
      <c r="C40" t="s">
        <v>423</v>
      </c>
      <c r="D40">
        <v>18</v>
      </c>
      <c r="E40" t="s">
        <v>759</v>
      </c>
      <c r="F40" s="7"/>
      <c r="G40" s="7">
        <v>26730</v>
      </c>
      <c r="H40" s="7"/>
    </row>
    <row r="41" spans="1:8" x14ac:dyDescent="0.25">
      <c r="A41" s="6">
        <v>46001</v>
      </c>
      <c r="B41" t="s">
        <v>435</v>
      </c>
      <c r="C41" t="s">
        <v>436</v>
      </c>
      <c r="D41">
        <v>12</v>
      </c>
      <c r="E41" t="s">
        <v>759</v>
      </c>
      <c r="F41" s="7"/>
      <c r="G41" s="7">
        <v>39600</v>
      </c>
      <c r="H41" s="7"/>
    </row>
    <row r="42" spans="1:8" x14ac:dyDescent="0.25">
      <c r="A42" s="6">
        <v>46037</v>
      </c>
      <c r="B42" t="s">
        <v>461</v>
      </c>
      <c r="C42" t="s">
        <v>462</v>
      </c>
      <c r="D42">
        <v>18</v>
      </c>
      <c r="E42" t="s">
        <v>759</v>
      </c>
      <c r="F42" s="7"/>
      <c r="G42" s="7">
        <v>22500</v>
      </c>
      <c r="H42" s="7"/>
    </row>
    <row r="43" spans="1:8" x14ac:dyDescent="0.25">
      <c r="A43" s="6">
        <v>46044</v>
      </c>
      <c r="B43" t="s">
        <v>471</v>
      </c>
      <c r="C43" t="s">
        <v>472</v>
      </c>
      <c r="E43" t="s">
        <v>760</v>
      </c>
      <c r="F43" s="7"/>
      <c r="G43" s="7"/>
      <c r="H43" s="7">
        <v>88830</v>
      </c>
    </row>
    <row r="44" spans="1:8" x14ac:dyDescent="0.25">
      <c r="A44" s="6">
        <v>46047</v>
      </c>
      <c r="B44" t="s">
        <v>474</v>
      </c>
      <c r="C44" t="s">
        <v>475</v>
      </c>
      <c r="D44">
        <v>12</v>
      </c>
      <c r="E44" t="s">
        <v>759</v>
      </c>
      <c r="F44" s="7">
        <v>33840</v>
      </c>
      <c r="G44" s="7"/>
      <c r="H44" s="7"/>
    </row>
    <row r="45" spans="1:8" x14ac:dyDescent="0.25">
      <c r="A45" s="6">
        <v>46063</v>
      </c>
      <c r="B45" t="s">
        <v>483</v>
      </c>
      <c r="C45" t="s">
        <v>484</v>
      </c>
      <c r="D45">
        <v>18</v>
      </c>
      <c r="E45" t="s">
        <v>759</v>
      </c>
      <c r="F45" s="7">
        <v>450</v>
      </c>
      <c r="G45" s="7"/>
      <c r="H45" s="7"/>
    </row>
    <row r="46" spans="1:8" x14ac:dyDescent="0.25">
      <c r="A46" s="6">
        <v>46065</v>
      </c>
      <c r="B46" t="s">
        <v>486</v>
      </c>
      <c r="C46" t="s">
        <v>487</v>
      </c>
      <c r="D46">
        <v>12</v>
      </c>
      <c r="E46" t="s">
        <v>759</v>
      </c>
      <c r="F46" s="7"/>
      <c r="G46" s="7">
        <v>39600</v>
      </c>
      <c r="H46" s="7"/>
    </row>
    <row r="47" spans="1:8" x14ac:dyDescent="0.25">
      <c r="A47" s="6">
        <v>46068</v>
      </c>
      <c r="B47" t="s">
        <v>489</v>
      </c>
      <c r="C47" t="s">
        <v>490</v>
      </c>
      <c r="D47">
        <v>18</v>
      </c>
      <c r="E47" t="s">
        <v>759</v>
      </c>
      <c r="F47" s="7"/>
      <c r="G47" s="7">
        <v>3240</v>
      </c>
      <c r="H47" s="7"/>
    </row>
    <row r="48" spans="1:8" x14ac:dyDescent="0.25">
      <c r="A48" s="6">
        <v>46071</v>
      </c>
      <c r="B48" t="s">
        <v>492</v>
      </c>
      <c r="C48" t="s">
        <v>493</v>
      </c>
      <c r="D48">
        <v>18</v>
      </c>
      <c r="E48" t="s">
        <v>759</v>
      </c>
      <c r="F48" s="7"/>
      <c r="G48" s="7">
        <v>27000</v>
      </c>
      <c r="H48" s="7"/>
    </row>
    <row r="49" spans="1:8" x14ac:dyDescent="0.25">
      <c r="A49" s="6">
        <v>46073</v>
      </c>
      <c r="B49" t="s">
        <v>498</v>
      </c>
      <c r="C49" t="s">
        <v>499</v>
      </c>
      <c r="E49" t="s">
        <v>760</v>
      </c>
      <c r="F49" s="7"/>
      <c r="G49" s="7"/>
      <c r="H49" s="7">
        <v>69840</v>
      </c>
    </row>
    <row r="50" spans="1:8" x14ac:dyDescent="0.25">
      <c r="A50" s="6">
        <v>46086</v>
      </c>
      <c r="B50" t="s">
        <v>507</v>
      </c>
      <c r="C50" t="s">
        <v>211</v>
      </c>
      <c r="D50">
        <v>12</v>
      </c>
      <c r="E50" t="s">
        <v>759</v>
      </c>
      <c r="F50" s="7"/>
      <c r="G50" s="7">
        <v>29700</v>
      </c>
      <c r="H50" s="7"/>
    </row>
    <row r="51" spans="1:8" x14ac:dyDescent="0.25">
      <c r="A51" s="6">
        <v>46093</v>
      </c>
      <c r="B51" t="s">
        <v>515</v>
      </c>
      <c r="C51" t="s">
        <v>516</v>
      </c>
      <c r="D51">
        <v>18</v>
      </c>
      <c r="E51" t="s">
        <v>759</v>
      </c>
      <c r="F51" s="7">
        <v>21240</v>
      </c>
      <c r="G51" s="7"/>
      <c r="H51" s="7"/>
    </row>
    <row r="52" spans="1:8" s="15" customFormat="1" x14ac:dyDescent="0.25">
      <c r="A52" s="16" t="s">
        <v>34</v>
      </c>
      <c r="B52" s="15" t="s">
        <v>34</v>
      </c>
      <c r="C52" s="15" t="s">
        <v>653</v>
      </c>
      <c r="D52" s="15" t="s">
        <v>34</v>
      </c>
      <c r="E52" s="15" t="s">
        <v>34</v>
      </c>
      <c r="F52" s="17">
        <f>SUM(F5:F51)</f>
        <v>568170</v>
      </c>
      <c r="G52" s="17">
        <f>SUM(G5:G51)</f>
        <v>579630</v>
      </c>
      <c r="H52" s="17">
        <f>SUM(H5:H51)</f>
        <v>549930</v>
      </c>
    </row>
    <row r="53" spans="1:8" x14ac:dyDescent="0.25">
      <c r="A53" s="6" t="s">
        <v>34</v>
      </c>
      <c r="B53" t="s">
        <v>34</v>
      </c>
      <c r="C53" t="s">
        <v>761</v>
      </c>
      <c r="D53" t="s">
        <v>34</v>
      </c>
      <c r="E53" t="s">
        <v>34</v>
      </c>
      <c r="F53" s="7">
        <v>21240</v>
      </c>
      <c r="G53" s="7"/>
      <c r="H53" s="7"/>
    </row>
    <row r="54" spans="1:8" x14ac:dyDescent="0.25">
      <c r="A54" s="6" t="s">
        <v>34</v>
      </c>
      <c r="B54" t="s">
        <v>34</v>
      </c>
      <c r="C54" t="s">
        <v>762</v>
      </c>
      <c r="D54" t="s">
        <v>34</v>
      </c>
      <c r="E54" t="s">
        <v>34</v>
      </c>
      <c r="F54" s="7">
        <v>29700</v>
      </c>
      <c r="G54" s="7"/>
      <c r="H54" s="7"/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78" customWidth="1"/>
    <col min="3" max="4" width="18" style="7" customWidth="1"/>
    <col min="5" max="5" width="16" style="7" customWidth="1"/>
    <col min="7" max="7" width="60" customWidth="1"/>
  </cols>
  <sheetData>
    <row r="1" spans="1:7" s="1" customFormat="1" x14ac:dyDescent="0.25">
      <c r="A1" s="8" t="s">
        <v>763</v>
      </c>
      <c r="B1" s="8"/>
      <c r="C1" s="8"/>
      <c r="D1" s="8"/>
      <c r="E1" s="8"/>
      <c r="F1" s="8"/>
      <c r="G1" s="8"/>
    </row>
    <row r="2" spans="1:5" s="2" customFormat="1" x14ac:dyDescent="0.25">
      <c r="A2" s="2" t="s">
        <v>1</v>
      </c>
      <c r="C2" s="10"/>
      <c r="D2" s="10"/>
      <c r="E2" s="10"/>
    </row>
    <row r="4" spans="1:7" s="5" customFormat="1" x14ac:dyDescent="0.25">
      <c r="A4" s="5" t="s">
        <v>764</v>
      </c>
      <c r="B4" s="5" t="s">
        <v>126</v>
      </c>
      <c r="C4" s="12" t="s">
        <v>765</v>
      </c>
      <c r="D4" s="12" t="s">
        <v>766</v>
      </c>
      <c r="E4" s="12" t="s">
        <v>767</v>
      </c>
      <c r="F4" s="5" t="s">
        <v>768</v>
      </c>
      <c r="G4" s="5" t="s">
        <v>769</v>
      </c>
    </row>
    <row r="5" spans="1:7" x14ac:dyDescent="0.25">
      <c r="A5" t="s">
        <v>770</v>
      </c>
      <c r="B5" t="s">
        <v>771</v>
      </c>
      <c r="C5" s="7">
        <v>20005554.14</v>
      </c>
      <c r="D5" s="7">
        <v>20005554.14</v>
      </c>
      <c r="E5" s="7">
        <f>D5-C5</f>
        <v>0</v>
      </c>
      <c r="F5" t="s">
        <v>772</v>
      </c>
      <c r="G5" t="s">
        <v>773</v>
      </c>
    </row>
    <row r="6" spans="1:7" x14ac:dyDescent="0.25">
      <c r="A6" t="s">
        <v>774</v>
      </c>
      <c r="B6" t="s">
        <v>775</v>
      </c>
      <c r="C6" s="7">
        <v>0</v>
      </c>
      <c r="D6" s="7">
        <v>0</v>
      </c>
      <c r="E6" s="7">
        <f>D6-C6</f>
        <v>0</v>
      </c>
      <c r="F6" t="s">
        <v>772</v>
      </c>
      <c r="G6" t="s">
        <v>776</v>
      </c>
    </row>
    <row r="7" spans="1:7" x14ac:dyDescent="0.25">
      <c r="A7" t="s">
        <v>777</v>
      </c>
      <c r="B7" t="s">
        <v>778</v>
      </c>
      <c r="C7" s="7">
        <v>7717631.78</v>
      </c>
      <c r="D7" s="7">
        <v>7717631.78</v>
      </c>
      <c r="E7" s="7">
        <f>D7-C7</f>
        <v>0</v>
      </c>
      <c r="F7" t="s">
        <v>772</v>
      </c>
      <c r="G7" t="s">
        <v>779</v>
      </c>
    </row>
    <row r="8" spans="1:7" x14ac:dyDescent="0.25">
      <c r="A8" t="s">
        <v>780</v>
      </c>
      <c r="B8" t="s">
        <v>781</v>
      </c>
      <c r="C8" s="7">
        <v>4471605.86</v>
      </c>
      <c r="D8" s="7">
        <v>4471605.86</v>
      </c>
      <c r="E8" s="7">
        <f>D8-C8</f>
        <v>0</v>
      </c>
      <c r="F8" t="s">
        <v>772</v>
      </c>
      <c r="G8" t="s">
        <v>782</v>
      </c>
    </row>
    <row r="9" spans="1:7" x14ac:dyDescent="0.25">
      <c r="A9" t="s">
        <v>783</v>
      </c>
      <c r="B9" t="s">
        <v>784</v>
      </c>
      <c r="C9" s="7">
        <v>650465.86</v>
      </c>
      <c r="D9" s="7">
        <v>650465.86</v>
      </c>
      <c r="E9" s="7">
        <f>D9-C9</f>
        <v>0</v>
      </c>
      <c r="F9" t="s">
        <v>772</v>
      </c>
      <c r="G9" t="s">
        <v>785</v>
      </c>
    </row>
    <row r="10" spans="1:7" x14ac:dyDescent="0.25">
      <c r="A10" t="s">
        <v>786</v>
      </c>
      <c r="B10" t="s">
        <v>787</v>
      </c>
      <c r="C10" s="7">
        <v>1761957.64</v>
      </c>
      <c r="D10" s="7">
        <v>1761957.64</v>
      </c>
      <c r="E10" s="7">
        <f>D10-C10</f>
        <v>0</v>
      </c>
      <c r="F10" t="s">
        <v>772</v>
      </c>
      <c r="G10" t="s">
        <v>788</v>
      </c>
    </row>
    <row r="11" spans="1:7" x14ac:dyDescent="0.25">
      <c r="A11" t="s">
        <v>789</v>
      </c>
      <c r="B11" t="s">
        <v>790</v>
      </c>
      <c r="C11" s="7">
        <v>650465.86</v>
      </c>
      <c r="D11" s="7">
        <v>650465.86</v>
      </c>
      <c r="E11" s="7">
        <f>D11-C11</f>
        <v>0</v>
      </c>
      <c r="F11" t="s">
        <v>772</v>
      </c>
      <c r="G11" t="s">
        <v>791</v>
      </c>
    </row>
    <row r="12" spans="1:7" x14ac:dyDescent="0.25">
      <c r="A12" t="s">
        <v>792</v>
      </c>
      <c r="B12" t="s">
        <v>793</v>
      </c>
      <c r="C12" s="7">
        <v>3750465.86</v>
      </c>
      <c r="D12" s="7">
        <v>3750465.86</v>
      </c>
      <c r="E12" s="7">
        <f>D12-C12</f>
        <v>0</v>
      </c>
      <c r="F12" t="s">
        <v>772</v>
      </c>
      <c r="G12" t="s">
        <v>794</v>
      </c>
    </row>
    <row r="13" spans="1:7" x14ac:dyDescent="0.25">
      <c r="A13" t="s">
        <v>795</v>
      </c>
      <c r="B13" t="s">
        <v>796</v>
      </c>
      <c r="C13" s="7">
        <v>650465.86</v>
      </c>
      <c r="D13" s="7">
        <v>650465.86</v>
      </c>
      <c r="E13" s="7">
        <f>D13-C13</f>
        <v>0</v>
      </c>
      <c r="F13" t="s">
        <v>772</v>
      </c>
      <c r="G13" t="s">
        <v>797</v>
      </c>
    </row>
    <row r="14" spans="1:7" x14ac:dyDescent="0.25">
      <c r="A14" t="s">
        <v>798</v>
      </c>
      <c r="B14" t="s">
        <v>799</v>
      </c>
      <c r="C14" s="7">
        <v>120540</v>
      </c>
      <c r="D14" s="7">
        <v>120540</v>
      </c>
      <c r="E14" s="7">
        <f>D14-C14</f>
        <v>0</v>
      </c>
      <c r="F14" t="s">
        <v>772</v>
      </c>
      <c r="G14" t="s">
        <v>800</v>
      </c>
    </row>
    <row r="15" spans="1:7" x14ac:dyDescent="0.25">
      <c r="A15" t="s">
        <v>801</v>
      </c>
      <c r="B15" t="s">
        <v>802</v>
      </c>
      <c r="C15" s="7">
        <v>1589510</v>
      </c>
      <c r="D15" s="7">
        <v>1589510</v>
      </c>
      <c r="E15" s="7">
        <f>D15-C15</f>
        <v>0</v>
      </c>
      <c r="F15" t="s">
        <v>772</v>
      </c>
      <c r="G15" t="s">
        <v>800</v>
      </c>
    </row>
    <row r="16" spans="1:7" x14ac:dyDescent="0.25">
      <c r="A16" t="s">
        <v>803</v>
      </c>
      <c r="B16" t="s">
        <v>804</v>
      </c>
      <c r="C16" s="7">
        <v>1434450</v>
      </c>
      <c r="D16" s="7">
        <v>1434450</v>
      </c>
      <c r="E16" s="7">
        <f>D16-C16</f>
        <v>0</v>
      </c>
      <c r="F16" t="s">
        <v>772</v>
      </c>
      <c r="G16" t="s">
        <v>800</v>
      </c>
    </row>
    <row r="17" spans="1:7" x14ac:dyDescent="0.25">
      <c r="A17" t="s">
        <v>805</v>
      </c>
      <c r="B17" t="s">
        <v>806</v>
      </c>
      <c r="C17" s="7">
        <v>0</v>
      </c>
      <c r="D17" s="7">
        <v>0</v>
      </c>
      <c r="E17" s="7">
        <f>D17-C17</f>
        <v>0</v>
      </c>
      <c r="F17" t="s">
        <v>772</v>
      </c>
      <c r="G17" t="s">
        <v>807</v>
      </c>
    </row>
    <row r="18" spans="1:7" x14ac:dyDescent="0.25">
      <c r="A18" t="s">
        <v>808</v>
      </c>
      <c r="B18" t="s">
        <v>809</v>
      </c>
      <c r="C18" s="7">
        <v>193957.64</v>
      </c>
      <c r="D18" s="7">
        <v>193957.64</v>
      </c>
      <c r="E18" s="7">
        <f>D18-C18</f>
        <v>0</v>
      </c>
      <c r="F18" t="s">
        <v>772</v>
      </c>
      <c r="G18" t="s">
        <v>810</v>
      </c>
    </row>
    <row r="19" spans="1:7" x14ac:dyDescent="0.25">
      <c r="A19" t="s">
        <v>811</v>
      </c>
      <c r="B19" t="s">
        <v>812</v>
      </c>
      <c r="C19" s="7">
        <v>0</v>
      </c>
      <c r="D19" s="7">
        <v>0</v>
      </c>
      <c r="E19" s="7">
        <f>D19-C19</f>
        <v>0</v>
      </c>
      <c r="F19" t="s">
        <v>772</v>
      </c>
      <c r="G19" t="s">
        <v>813</v>
      </c>
    </row>
    <row r="20" spans="1:7" x14ac:dyDescent="0.25">
      <c r="A20" t="s">
        <v>814</v>
      </c>
      <c r="B20" t="s">
        <v>815</v>
      </c>
      <c r="C20" s="7">
        <v>193957.64</v>
      </c>
      <c r="D20" s="7">
        <v>193957.64</v>
      </c>
      <c r="E20" s="7">
        <f>D20-C20</f>
        <v>0</v>
      </c>
      <c r="F20" t="s">
        <v>772</v>
      </c>
      <c r="G20" t="s">
        <v>816</v>
      </c>
    </row>
    <row r="21" spans="1:7" x14ac:dyDescent="0.25">
      <c r="A21" t="s">
        <v>817</v>
      </c>
      <c r="B21" t="s">
        <v>818</v>
      </c>
      <c r="C21" s="7">
        <v>2018042.36</v>
      </c>
      <c r="D21" s="7">
        <v>2018042.36</v>
      </c>
      <c r="E21" s="7">
        <f>D21-C21</f>
        <v>0</v>
      </c>
      <c r="F21" t="s">
        <v>772</v>
      </c>
      <c r="G21" t="s">
        <v>819</v>
      </c>
    </row>
    <row r="22" spans="1:7" x14ac:dyDescent="0.25">
      <c r="A22" t="s">
        <v>820</v>
      </c>
      <c r="B22" t="s">
        <v>821</v>
      </c>
      <c r="C22" s="7">
        <v>770000</v>
      </c>
      <c r="D22" s="7">
        <v>770000</v>
      </c>
      <c r="E22" s="7">
        <f>D22-C22</f>
        <v>0</v>
      </c>
      <c r="F22" t="s">
        <v>772</v>
      </c>
      <c r="G22" t="s">
        <v>822</v>
      </c>
    </row>
    <row r="23" spans="1:7" x14ac:dyDescent="0.25">
      <c r="A23" t="s">
        <v>823</v>
      </c>
      <c r="B23" t="s">
        <v>824</v>
      </c>
      <c r="C23" s="7">
        <v>103391.78</v>
      </c>
      <c r="D23" s="7">
        <v>103391.78</v>
      </c>
      <c r="E23" s="7">
        <f>D23-C23</f>
        <v>0</v>
      </c>
      <c r="F23" t="s">
        <v>772</v>
      </c>
      <c r="G23" t="s">
        <v>825</v>
      </c>
    </row>
    <row r="24" spans="1:7" x14ac:dyDescent="0.25">
      <c r="A24" t="s">
        <v>826</v>
      </c>
      <c r="B24" t="s">
        <v>827</v>
      </c>
      <c r="C24" s="7">
        <v>666608.22</v>
      </c>
      <c r="D24" s="7">
        <v>666608.22</v>
      </c>
      <c r="E24" s="7">
        <f>D24-C24</f>
        <v>0</v>
      </c>
      <c r="F24" t="s">
        <v>772</v>
      </c>
      <c r="G24" t="s">
        <v>828</v>
      </c>
    </row>
    <row r="25" spans="1:7" x14ac:dyDescent="0.25">
      <c r="A25" t="s">
        <v>829</v>
      </c>
      <c r="B25" t="s">
        <v>830</v>
      </c>
      <c r="C25" s="7">
        <v>103391.78</v>
      </c>
      <c r="D25" s="7">
        <v>103391.78</v>
      </c>
      <c r="E25" s="7">
        <f>D25-C25</f>
        <v>0</v>
      </c>
      <c r="F25" t="s">
        <v>772</v>
      </c>
      <c r="G25" t="s">
        <v>831</v>
      </c>
    </row>
    <row r="26" spans="1:7" x14ac:dyDescent="0.25">
      <c r="A26" t="s">
        <v>832</v>
      </c>
      <c r="B26" t="s">
        <v>833</v>
      </c>
      <c r="C26" s="7">
        <v>277200</v>
      </c>
      <c r="D26" s="7">
        <v>277200</v>
      </c>
      <c r="E26" s="7">
        <f>D26-C26</f>
        <v>0</v>
      </c>
      <c r="F26" t="s">
        <v>772</v>
      </c>
      <c r="G26" t="s">
        <v>834</v>
      </c>
    </row>
    <row r="27" spans="1:7" x14ac:dyDescent="0.25">
      <c r="A27" t="s">
        <v>835</v>
      </c>
      <c r="B27" t="s">
        <v>836</v>
      </c>
      <c r="C27" s="7">
        <v>139240</v>
      </c>
      <c r="D27" s="7">
        <v>139240</v>
      </c>
      <c r="E27" s="7">
        <f>D27-C27</f>
        <v>0</v>
      </c>
      <c r="F27" t="s">
        <v>772</v>
      </c>
      <c r="G27" t="s">
        <v>837</v>
      </c>
    </row>
    <row r="28" spans="1:7" x14ac:dyDescent="0.25">
      <c r="A28" t="s">
        <v>838</v>
      </c>
      <c r="B28" t="s">
        <v>839</v>
      </c>
      <c r="C28" s="7">
        <v>500000</v>
      </c>
      <c r="D28" s="7">
        <v>500000</v>
      </c>
      <c r="E28" s="7">
        <f>D28-C28</f>
        <v>0</v>
      </c>
      <c r="F28" t="s">
        <v>772</v>
      </c>
      <c r="G28" t="s">
        <v>840</v>
      </c>
    </row>
    <row r="29" spans="1:7" x14ac:dyDescent="0.25">
      <c r="A29" t="s">
        <v>841</v>
      </c>
      <c r="B29" t="s">
        <v>842</v>
      </c>
      <c r="C29" s="7">
        <v>100000</v>
      </c>
      <c r="D29" s="7">
        <v>100000</v>
      </c>
      <c r="E29" s="7">
        <f>D29-C29</f>
        <v>0</v>
      </c>
      <c r="F29" t="s">
        <v>772</v>
      </c>
      <c r="G29" t="s">
        <v>840</v>
      </c>
    </row>
    <row r="30" spans="1:7" x14ac:dyDescent="0.25">
      <c r="A30" t="s">
        <v>843</v>
      </c>
      <c r="B30" t="s">
        <v>844</v>
      </c>
      <c r="C30" s="7">
        <v>66000</v>
      </c>
      <c r="D30" s="7">
        <v>66000</v>
      </c>
      <c r="E30" s="7">
        <f>D30-C30</f>
        <v>0</v>
      </c>
      <c r="F30" t="s">
        <v>772</v>
      </c>
      <c r="G30" t="s">
        <v>845</v>
      </c>
    </row>
    <row r="31" spans="1:7" x14ac:dyDescent="0.25">
      <c r="A31" t="s">
        <v>846</v>
      </c>
      <c r="B31" t="s">
        <v>847</v>
      </c>
      <c r="C31" s="7">
        <v>21240</v>
      </c>
      <c r="D31" s="7">
        <v>21240</v>
      </c>
      <c r="E31" s="7">
        <f>D31-C31</f>
        <v>0</v>
      </c>
      <c r="F31" t="s">
        <v>772</v>
      </c>
      <c r="G31" t="s">
        <v>848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 Me</vt:lpstr>
      <vt:lpstr>Chart of Accounts</vt:lpstr>
      <vt:lpstr>Source Transactions</vt:lpstr>
      <vt:lpstr>Journal Entries</vt:lpstr>
      <vt:lpstr>General Ledger</vt:lpstr>
      <vt:lpstr>Trial Balance</vt:lpstr>
      <vt:lpstr>Profit and Loss</vt:lpstr>
      <vt:lpstr>Balance Sheet</vt:lpstr>
      <vt:lpstr>Inventory</vt:lpstr>
      <vt:lpstr>Fixed Assets and Depreciation</vt:lpstr>
      <vt:lpstr>GST Summary</vt:lpstr>
      <vt:lpstr>Validation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Meridian Retail Accounting</dc:creator>
  <dc:title/>
  <dc:subject/>
  <dc:description/>
  <cp:keywords/>
  <cp:category/>
  <cp:lastModifiedBy>Unknown</cp:lastModifiedBy>
  <dcterms:created xsi:type="dcterms:W3CDTF">2026-10-09T22:01:29Z</dcterms:created>
  <dcterms:modified xsi:type="dcterms:W3CDTF">2026-10-09T22:01:29Z</dcterms:modified>
</cp:coreProperties>
</file>